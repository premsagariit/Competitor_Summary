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200" windowHeight="7425"/>
  </bookViews>
  <sheets>
    <sheet name="Data Engine" sheetId="1" r:id="rId1"/>
  </sheets>
  <definedNames>
    <definedName name="_xlnm._FilterDatabase" localSheetId="0" hidden="1">'Data Engine'!$A$1:$P$825</definedName>
  </definedNames>
  <calcPr calcId="144525"/>
</workbook>
</file>

<file path=xl/calcChain.xml><?xml version="1.0" encoding="utf-8"?>
<calcChain xmlns="http://schemas.openxmlformats.org/spreadsheetml/2006/main">
  <c r="I693" i="1" l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J462" i="1"/>
  <c r="J461" i="1"/>
  <c r="J460" i="1"/>
  <c r="J459" i="1"/>
  <c r="J458" i="1"/>
  <c r="J457" i="1"/>
  <c r="J456" i="1"/>
  <c r="I455" i="1"/>
  <c r="H455" i="1"/>
  <c r="J455" i="1" s="1"/>
  <c r="I454" i="1"/>
  <c r="H454" i="1"/>
  <c r="J454" i="1" s="1"/>
  <c r="I453" i="1"/>
  <c r="H453" i="1"/>
  <c r="J453" i="1" s="1"/>
  <c r="I452" i="1"/>
  <c r="H452" i="1"/>
  <c r="J452" i="1" s="1"/>
  <c r="I451" i="1"/>
  <c r="H451" i="1"/>
  <c r="J451" i="1" s="1"/>
  <c r="I450" i="1"/>
  <c r="H450" i="1"/>
  <c r="J450" i="1" s="1"/>
  <c r="I449" i="1"/>
  <c r="H449" i="1"/>
  <c r="J449" i="1" s="1"/>
  <c r="J448" i="1"/>
  <c r="J447" i="1"/>
  <c r="J446" i="1"/>
  <c r="J445" i="1"/>
  <c r="J444" i="1"/>
  <c r="J443" i="1"/>
  <c r="J442" i="1"/>
  <c r="J441" i="1"/>
  <c r="J440" i="1"/>
  <c r="J436" i="1"/>
  <c r="J435" i="1"/>
  <c r="J434" i="1"/>
  <c r="J433" i="1"/>
  <c r="J432" i="1"/>
  <c r="J430" i="1"/>
  <c r="J428" i="1"/>
  <c r="J427" i="1"/>
  <c r="J426" i="1"/>
  <c r="J425" i="1"/>
  <c r="J424" i="1"/>
  <c r="J422" i="1"/>
  <c r="J420" i="1"/>
  <c r="J419" i="1"/>
  <c r="J418" i="1"/>
  <c r="J417" i="1"/>
  <c r="J416" i="1"/>
  <c r="J414" i="1"/>
  <c r="J412" i="1"/>
  <c r="J411" i="1"/>
  <c r="J410" i="1"/>
  <c r="J409" i="1"/>
  <c r="J408" i="1"/>
  <c r="J406" i="1"/>
  <c r="J403" i="1"/>
  <c r="J402" i="1"/>
  <c r="J401" i="1"/>
  <c r="J400" i="1"/>
  <c r="J398" i="1"/>
  <c r="J396" i="1"/>
  <c r="J395" i="1"/>
  <c r="J394" i="1"/>
  <c r="J393" i="1"/>
  <c r="J392" i="1"/>
  <c r="J390" i="1"/>
  <c r="I385" i="1"/>
  <c r="H385" i="1"/>
  <c r="I377" i="1"/>
  <c r="H377" i="1"/>
  <c r="I369" i="1"/>
  <c r="H369" i="1"/>
  <c r="I361" i="1"/>
  <c r="H361" i="1"/>
  <c r="I353" i="1"/>
  <c r="H353" i="1"/>
  <c r="I345" i="1"/>
  <c r="H345" i="1"/>
  <c r="I337" i="1"/>
  <c r="H337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3" i="1"/>
  <c r="J232" i="1"/>
  <c r="J231" i="1"/>
  <c r="J230" i="1"/>
  <c r="J229" i="1"/>
  <c r="J228" i="1"/>
  <c r="J227" i="1"/>
  <c r="J225" i="1"/>
  <c r="J224" i="1"/>
  <c r="J223" i="1"/>
  <c r="J222" i="1"/>
  <c r="J221" i="1"/>
  <c r="J220" i="1"/>
  <c r="J219" i="1"/>
  <c r="J217" i="1"/>
  <c r="J216" i="1"/>
  <c r="J215" i="1"/>
  <c r="J214" i="1"/>
  <c r="J213" i="1"/>
  <c r="J212" i="1"/>
  <c r="J211" i="1"/>
  <c r="I113" i="1"/>
  <c r="H113" i="1"/>
  <c r="I112" i="1"/>
  <c r="H112" i="1"/>
  <c r="I111" i="1"/>
  <c r="H111" i="1"/>
  <c r="I110" i="1"/>
  <c r="H110" i="1"/>
  <c r="I109" i="1"/>
  <c r="H109" i="1"/>
  <c r="H108" i="1"/>
  <c r="H107" i="1"/>
  <c r="H106" i="1"/>
  <c r="H105" i="1"/>
  <c r="H104" i="1"/>
  <c r="H103" i="1"/>
  <c r="H102" i="1"/>
  <c r="H101" i="1"/>
  <c r="J92" i="1"/>
  <c r="J91" i="1"/>
  <c r="J90" i="1"/>
  <c r="J89" i="1"/>
  <c r="J88" i="1"/>
  <c r="J87" i="1"/>
  <c r="J86" i="1"/>
  <c r="J83" i="1"/>
  <c r="J82" i="1"/>
  <c r="J80" i="1"/>
  <c r="J79" i="1"/>
  <c r="J74" i="1"/>
  <c r="J73" i="1"/>
  <c r="J72" i="1"/>
  <c r="J70" i="1"/>
  <c r="J69" i="1"/>
  <c r="J64" i="1"/>
  <c r="J63" i="1"/>
  <c r="J62" i="1"/>
  <c r="J60" i="1"/>
  <c r="J59" i="1"/>
  <c r="J58" i="1"/>
  <c r="J57" i="1"/>
  <c r="J55" i="1"/>
  <c r="J54" i="1"/>
  <c r="J53" i="1"/>
  <c r="J52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<sst xmlns="http://schemas.openxmlformats.org/spreadsheetml/2006/main" count="4553" uniqueCount="375">
  <si>
    <t>Slide #</t>
  </si>
  <si>
    <t>Category</t>
  </si>
  <si>
    <t>Company</t>
  </si>
  <si>
    <t>Meric 1</t>
  </si>
  <si>
    <t>Metric 2</t>
  </si>
  <si>
    <t>Source Tab</t>
  </si>
  <si>
    <t>Link to Source document</t>
  </si>
  <si>
    <t>Growth</t>
  </si>
  <si>
    <t>Overall Industry &amp; Market share</t>
  </si>
  <si>
    <t>Industry</t>
  </si>
  <si>
    <t>Market share</t>
  </si>
  <si>
    <t>Private</t>
  </si>
  <si>
    <t>Segment wise report</t>
  </si>
  <si>
    <t>https://www.gicouncil.in/statistics/industry-statistics/segment-wise-report-on-homepage/</t>
  </si>
  <si>
    <t>Public</t>
  </si>
  <si>
    <t>SAHI</t>
  </si>
  <si>
    <t>Specialized Insurer</t>
  </si>
  <si>
    <t>Fire</t>
  </si>
  <si>
    <t>Marine Total</t>
  </si>
  <si>
    <t>Marine Cargo</t>
  </si>
  <si>
    <t>Marine Hull</t>
  </si>
  <si>
    <t>Engineering</t>
  </si>
  <si>
    <t>Motor Total</t>
  </si>
  <si>
    <t>Motor OD</t>
  </si>
  <si>
    <t>Motor TP</t>
  </si>
  <si>
    <t>Health</t>
  </si>
  <si>
    <t>Aviation</t>
  </si>
  <si>
    <t>Liability</t>
  </si>
  <si>
    <t>P.A.</t>
  </si>
  <si>
    <t>All Other Misc (Crop Insurance + Credit Guarantee+All other misc)</t>
  </si>
  <si>
    <t>Health Industry (Inc. PA and Travel)</t>
  </si>
  <si>
    <t>Segment wise report + Health Portfolio</t>
  </si>
  <si>
    <t>Health-Retail</t>
  </si>
  <si>
    <t>Health Portfolio</t>
  </si>
  <si>
    <t>Health-Group</t>
  </si>
  <si>
    <t>Health-Government schemes</t>
  </si>
  <si>
    <t>Overseas Medical</t>
  </si>
  <si>
    <t>SAHI Market</t>
  </si>
  <si>
    <t>Niva Bupa</t>
  </si>
  <si>
    <t>Revenue Growth_CAGR</t>
  </si>
  <si>
    <t>ABHI</t>
  </si>
  <si>
    <t>CARE</t>
  </si>
  <si>
    <t>Galaxy Health</t>
  </si>
  <si>
    <t>Manipal Cigna</t>
  </si>
  <si>
    <t>Naryana Health</t>
  </si>
  <si>
    <t>STAR</t>
  </si>
  <si>
    <t>Pvt GI</t>
  </si>
  <si>
    <t>Public GI</t>
  </si>
  <si>
    <t>Niva bupa health insurance company limited</t>
  </si>
  <si>
    <t>Health Portfolio_segment wise</t>
  </si>
  <si>
    <t>-</t>
  </si>
  <si>
    <t xml:space="preserve"> Niva bupa health insurance company limited</t>
  </si>
  <si>
    <t>Aditya Birla Health Insurance Co Ltd</t>
  </si>
  <si>
    <t>Care Health Insurance Ltd</t>
  </si>
  <si>
    <t>Galaxy Health Insurance Company Ltd</t>
  </si>
  <si>
    <t>ManipalCigna Health Insurance Co Ltd</t>
  </si>
  <si>
    <t>Narayana Health Insurance Ltd</t>
  </si>
  <si>
    <t>Star Health &amp; Allied Insurance Co Ltd</t>
  </si>
  <si>
    <t>Revenue (Segment, Channel, Geographical mix)</t>
  </si>
  <si>
    <t>Industry Total</t>
  </si>
  <si>
    <t>Growth %</t>
  </si>
  <si>
    <t>Growth Trends for SAHI &amp; GI Ind</t>
  </si>
  <si>
    <t>Stand-alone Health sub Total</t>
  </si>
  <si>
    <t>Revenue Growth (GDPI)</t>
  </si>
  <si>
    <t>Health + PA + Travel</t>
  </si>
  <si>
    <t>NBHI_NL_36</t>
  </si>
  <si>
    <t>https://transactions.nivabupa.com/pages/doc/pub-dis/quarterly-reports/Website-Public-Disclosures-Mar-2026.pdf?v=1.0</t>
  </si>
  <si>
    <t>ABHI_NL_36</t>
  </si>
  <si>
    <t>https://www.adityabirlacapital.com/healthinsurance/assets/PDF/20260605T040558.pdf</t>
  </si>
  <si>
    <t>CARE_NL_36</t>
  </si>
  <si>
    <t>https://cms.careinsurance.com/cms/public/uploads/uploads/public_disclosure/FY%2025-26/Qtr%204%2025-26/Public_Disclosure_1780465863.pdf</t>
  </si>
  <si>
    <t>Galaxy_NL_36</t>
  </si>
  <si>
    <t>https://www.galaxyhealth.com/assets/preloaded/Website%2520PD_Q4%2520FY%252025-26%2520-%2520Galaxy_1.pdf</t>
  </si>
  <si>
    <t>Manipal_Cigna_NL_36</t>
  </si>
  <si>
    <t>https://www.manipalcigna.com/documents/20124/0/Public+Disclosure+March-26+-Final.pdf/6578a708-d64f-06fd-0ff5-2abcaa77e533?t=1782738561784</t>
  </si>
  <si>
    <t>Narayana Health</t>
  </si>
  <si>
    <t>Narayana_NL_36</t>
  </si>
  <si>
    <t>https://stgaccinwbsprdlrs01.blob.core.windows.net/nhilprd/Financial_Report_Q4_Fin_b6f97cde9e.pdf?sv=2025-05-05&amp;spr=https&amp;st=2026-06-24T14%3A42%3A03Z&amp;se=2036-06-21T14%3A42%3A03Z&amp;sr=b&amp;sp=r&amp;sig=bbufudehAyb%2Fyvi8eUCmFVrQFJ7sBTIRZIA8FTEOkiA%3D</t>
  </si>
  <si>
    <t>STAR_NL_36</t>
  </si>
  <si>
    <t>https://d28c6jni2fmamz.cloudfront.net/PD_FY_26_Q4_b6cd5de595.pdf</t>
  </si>
  <si>
    <t>Revenue &amp; Growth %</t>
  </si>
  <si>
    <t>CAGR</t>
  </si>
  <si>
    <t>SAHI CAGR</t>
  </si>
  <si>
    <t>GDPI Growth SAHI</t>
  </si>
  <si>
    <t>SAHI Growth</t>
  </si>
  <si>
    <t>Healthwise report_PY</t>
  </si>
  <si>
    <t>Segment wise GDPI</t>
  </si>
  <si>
    <t>Segment-wise GDPI mix</t>
  </si>
  <si>
    <t>Retail</t>
  </si>
  <si>
    <t>Group</t>
  </si>
  <si>
    <t>Govt.</t>
  </si>
  <si>
    <t>Travel</t>
  </si>
  <si>
    <t>PA</t>
  </si>
  <si>
    <t>Pvt. GI</t>
  </si>
  <si>
    <t>Segment wise GDPI - Health</t>
  </si>
  <si>
    <t>Segment-wise GDPI mix - SAHI</t>
  </si>
  <si>
    <t>Star</t>
  </si>
  <si>
    <t>Galaxy</t>
  </si>
  <si>
    <t>Narayana</t>
  </si>
  <si>
    <t>GDPI by Channel</t>
  </si>
  <si>
    <t>GDPI by Channel - SAHI</t>
  </si>
  <si>
    <t>Individual Agents</t>
  </si>
  <si>
    <t>Corporate Agents - Banks</t>
  </si>
  <si>
    <t>Corporate Agents - Others</t>
  </si>
  <si>
    <t>Brokers</t>
  </si>
  <si>
    <t>Direct Business</t>
  </si>
  <si>
    <t>Others</t>
  </si>
  <si>
    <t>NBHI</t>
  </si>
  <si>
    <t>Channel-wise Gross Commision % to GDPI</t>
  </si>
  <si>
    <t>NBHI_NL-6</t>
  </si>
  <si>
    <t>Corporate Agents-Banks</t>
  </si>
  <si>
    <t>Corporate Agents-Others</t>
  </si>
  <si>
    <t>IMF</t>
  </si>
  <si>
    <t>Web Aggregator</t>
  </si>
  <si>
    <t>POS</t>
  </si>
  <si>
    <t>CSC</t>
  </si>
  <si>
    <t>Aditya Birla_NL-6</t>
  </si>
  <si>
    <t>Care Health</t>
  </si>
  <si>
    <t>Care_NL-6</t>
  </si>
  <si>
    <t>Star Health</t>
  </si>
  <si>
    <t>Star_NL-6</t>
  </si>
  <si>
    <t>1,74,764</t>
  </si>
  <si>
    <t>1,49,085</t>
  </si>
  <si>
    <t>ManipalCigna_NL-6</t>
  </si>
  <si>
    <t>Narayana_NL-6</t>
  </si>
  <si>
    <t>Galaxy_NL-6</t>
  </si>
  <si>
    <t>Retail Revenue</t>
  </si>
  <si>
    <t>Health Portfolio_segmentwise</t>
  </si>
  <si>
    <t>Retail Accretion</t>
  </si>
  <si>
    <t>Retail Revenue CY-Retail Revenue PY</t>
  </si>
  <si>
    <t>Health Portfolio_segmentwise, Healthwise report_PY</t>
  </si>
  <si>
    <t>Individual ATS</t>
  </si>
  <si>
    <t>Individual agents GWP/Individual agents no. of policies</t>
  </si>
  <si>
    <t>NBHI_NL-36</t>
  </si>
  <si>
    <t>Star_NL-36</t>
  </si>
  <si>
    <t>Care_NL-36</t>
  </si>
  <si>
    <t>ManipalCigna_NL-36</t>
  </si>
  <si>
    <t>ABHI_NL-36</t>
  </si>
  <si>
    <t>NarayanaHealth_NL-36</t>
  </si>
  <si>
    <t>GalaxyHealth_NL-36</t>
  </si>
  <si>
    <t>Average Productivity (per agent)</t>
  </si>
  <si>
    <t>Premium/No. of Individual Agents</t>
  </si>
  <si>
    <t>NBHI_NL-36, Agents</t>
  </si>
  <si>
    <t>Star_NL-36, Agents</t>
  </si>
  <si>
    <t>Care_NL-36, Agents</t>
  </si>
  <si>
    <t>ManipalCigna_NL-36, Agents</t>
  </si>
  <si>
    <t>ABHI_NL-36, Agents</t>
  </si>
  <si>
    <t>NarayanaHealth_NL-36, Agents</t>
  </si>
  <si>
    <t>GalaxyHealth_NL-36, Agents</t>
  </si>
  <si>
    <t>North</t>
  </si>
  <si>
    <t>NBHI_NL-34</t>
  </si>
  <si>
    <t>East</t>
  </si>
  <si>
    <t>West</t>
  </si>
  <si>
    <t>Central</t>
  </si>
  <si>
    <t>South</t>
  </si>
  <si>
    <t>Star_NL-34</t>
  </si>
  <si>
    <t>Care_NL-34</t>
  </si>
  <si>
    <t>ManipalCigna_NL-34</t>
  </si>
  <si>
    <t>ABHI_NL-34</t>
  </si>
  <si>
    <t>Narayana_NL-34</t>
  </si>
  <si>
    <t>Galaxy_NL-34</t>
  </si>
  <si>
    <t>Uttar Pradesh</t>
  </si>
  <si>
    <t>Maharashtra</t>
  </si>
  <si>
    <t>Karnataka</t>
  </si>
  <si>
    <t>Haryana</t>
  </si>
  <si>
    <t>Tamil Nadu</t>
  </si>
  <si>
    <t>Kerala</t>
  </si>
  <si>
    <t>Delhi</t>
  </si>
  <si>
    <t>Income Statement</t>
  </si>
  <si>
    <t>Gross Written Premium</t>
  </si>
  <si>
    <t>NBHI_NL-4</t>
  </si>
  <si>
    <t>Net Written Premium</t>
  </si>
  <si>
    <t>Earned Premium</t>
  </si>
  <si>
    <t>Investment Income</t>
  </si>
  <si>
    <t>Claims</t>
  </si>
  <si>
    <t>NBHI_NL-1</t>
  </si>
  <si>
    <t>Total Overheads</t>
  </si>
  <si>
    <t>PBT</t>
  </si>
  <si>
    <t>NBHI_NL-2</t>
  </si>
  <si>
    <t>PAT</t>
  </si>
  <si>
    <t>ABHI_NL-4</t>
  </si>
  <si>
    <t>ABHI_NL-1</t>
  </si>
  <si>
    <t>ABHI_NL-2</t>
  </si>
  <si>
    <t>Care_NL-4</t>
  </si>
  <si>
    <t>Care_NL-1</t>
  </si>
  <si>
    <t>Care_NL-2</t>
  </si>
  <si>
    <t>Star_NL-4</t>
  </si>
  <si>
    <t>Star_NL-1</t>
  </si>
  <si>
    <t>Star_NL-2</t>
  </si>
  <si>
    <t>ManipalCigna_NL-4</t>
  </si>
  <si>
    <t>ManipalCigna_NL-1</t>
  </si>
  <si>
    <t>ManipalCigna_NL-2</t>
  </si>
  <si>
    <t>Narayana_NL-4</t>
  </si>
  <si>
    <t>Narayana_NL-1</t>
  </si>
  <si>
    <t>Narayana_NL-2</t>
  </si>
  <si>
    <t>Galaxy_NL-4</t>
  </si>
  <si>
    <t>Galaxy_NL-1</t>
  </si>
  <si>
    <t>Galaxy_NL-2</t>
  </si>
  <si>
    <t>Key Metrics</t>
  </si>
  <si>
    <t>Combined Ratio</t>
  </si>
  <si>
    <t>NBHI_NL-20</t>
  </si>
  <si>
    <t>Start_NL-20</t>
  </si>
  <si>
    <t>Care_NL-20</t>
  </si>
  <si>
    <t>ManipalCigna_NL-20</t>
  </si>
  <si>
    <t>ABHI_NL-20</t>
  </si>
  <si>
    <t>Narayana_NL-20</t>
  </si>
  <si>
    <t>Galaxy_NL-20</t>
  </si>
  <si>
    <t>Expense Ratio</t>
  </si>
  <si>
    <t>Loss Ratio</t>
  </si>
  <si>
    <t>Claims Settlement Ratio</t>
  </si>
  <si>
    <t>NBHI_NL_37</t>
  </si>
  <si>
    <t>STAR_NL_37</t>
  </si>
  <si>
    <t>CARE_NL_37</t>
  </si>
  <si>
    <t>Manipal_Cigna_NL_37</t>
  </si>
  <si>
    <t>ABHI_NL_37</t>
  </si>
  <si>
    <t>Narayana_NL_37</t>
  </si>
  <si>
    <t>Galaxy_NL_37</t>
  </si>
  <si>
    <t>Average Claim Size</t>
  </si>
  <si>
    <t>Manipal_Cigna_NL-37</t>
  </si>
  <si>
    <t>No. of claims to No. of policies</t>
  </si>
  <si>
    <t>Opex. To GWP ratio</t>
  </si>
  <si>
    <t>NBHI_NL-1, NBHI_NL-4</t>
  </si>
  <si>
    <t>Star_NL-1, Star_NL-4</t>
  </si>
  <si>
    <t>Care_NL-1, Care_NL-4</t>
  </si>
  <si>
    <t>ManipalCigna_NL-1, ManipalCigna_NL-4</t>
  </si>
  <si>
    <t>ABHI_NL-1, ABHI_NL-4</t>
  </si>
  <si>
    <t>Narayana_NL-1, Narayana_NL-4</t>
  </si>
  <si>
    <t>Galaxy_NL-1, Galaxy_NL-4</t>
  </si>
  <si>
    <t>Manpower to GWP ratio</t>
  </si>
  <si>
    <t>NBHI_NL-7, NBHI_NL-4</t>
  </si>
  <si>
    <t>Star_NL-7, Star_NL-4</t>
  </si>
  <si>
    <t>Care_NL-7, Care_NL-4</t>
  </si>
  <si>
    <t>ManipalCigna_NL-7, ManipalCigna_NL-4</t>
  </si>
  <si>
    <t>ABHI_NL-7, ABHI_NL-4</t>
  </si>
  <si>
    <t>Narayana_NL-7, Narayana_NL-4</t>
  </si>
  <si>
    <t>Galaxy_NL-7, Galaxy_NL-4</t>
  </si>
  <si>
    <t>IT spend to GWP ratio</t>
  </si>
  <si>
    <t>Manpower cost to total Opex</t>
  </si>
  <si>
    <t>Manpower to GWP ratio/Opex. To GWP ratio</t>
  </si>
  <si>
    <t>Manpower cost per employee</t>
  </si>
  <si>
    <t>NBHI_NL-7, NBHI_NL-41</t>
  </si>
  <si>
    <t>Star_NL-7, Star_NL-41</t>
  </si>
  <si>
    <t>Care_NL-7, Care_NL-41</t>
  </si>
  <si>
    <t>ManipalCigna_NL-7, ManipalCigna_NL-41</t>
  </si>
  <si>
    <t>ABHI_NL-7, ABHI_NL-41</t>
  </si>
  <si>
    <t>Narayana_NL-7, Narayana_NL-41</t>
  </si>
  <si>
    <t>Galaxy_NL-7, Galaxy_NL-41</t>
  </si>
  <si>
    <t>Facility rental per office per month</t>
  </si>
  <si>
    <t>Capital</t>
  </si>
  <si>
    <t>NBHI_NL-3</t>
  </si>
  <si>
    <t>Star_NL-3</t>
  </si>
  <si>
    <t>Care_NL-3</t>
  </si>
  <si>
    <t>ManipalCigna_NL-3</t>
  </si>
  <si>
    <t>ABHI_NL-3</t>
  </si>
  <si>
    <t>Narayana_NL-3</t>
  </si>
  <si>
    <t>Galaxy_NL-3</t>
  </si>
  <si>
    <t>Net Worth</t>
  </si>
  <si>
    <t>Investment Portfolio</t>
  </si>
  <si>
    <t>Corporate Bonds/Debentures</t>
  </si>
  <si>
    <t>Niva Bupa_NL-12</t>
  </si>
  <si>
    <t>Govt Bonds</t>
  </si>
  <si>
    <t>Deposits</t>
  </si>
  <si>
    <t>Equity/Invits/REIT</t>
  </si>
  <si>
    <t>Mutual Funds</t>
  </si>
  <si>
    <t>Star_NL-12</t>
  </si>
  <si>
    <t>Care_NL-12</t>
  </si>
  <si>
    <t>Manipal Cigna_NL-12</t>
  </si>
  <si>
    <t>Aditya Birla_NL-12</t>
  </si>
  <si>
    <t>Narayana_NL-12</t>
  </si>
  <si>
    <t>Galaxy_NL-12</t>
  </si>
  <si>
    <t>Debt Portfolio</t>
  </si>
  <si>
    <t>Sovereign</t>
  </si>
  <si>
    <t>NBHI_NL-29</t>
  </si>
  <si>
    <t>AAA rated</t>
  </si>
  <si>
    <t>AA or better</t>
  </si>
  <si>
    <t>Rated below AA but above A</t>
  </si>
  <si>
    <t>Rated below A</t>
  </si>
  <si>
    <t>Star_NL-29</t>
  </si>
  <si>
    <t>Care_NL-29</t>
  </si>
  <si>
    <t>ManipalCigna_NL-29</t>
  </si>
  <si>
    <t>ABHI_NL-29</t>
  </si>
  <si>
    <t>Narayana_NL-29</t>
  </si>
  <si>
    <t>Galaxy_NL-29</t>
  </si>
  <si>
    <t>Up to 1 year</t>
  </si>
  <si>
    <t>Avg. Maturity (5.4 years)</t>
  </si>
  <si>
    <t>More than 1 year and upto 3 years</t>
  </si>
  <si>
    <t>Avg. Maturity (4.8 years)</t>
  </si>
  <si>
    <t>More than 3 years and upto 7 years</t>
  </si>
  <si>
    <t>Avg. Maturity (6.0 years)</t>
  </si>
  <si>
    <t>More than 7 years and upto 10 years</t>
  </si>
  <si>
    <t>Avg. Maturity (4.6 years)</t>
  </si>
  <si>
    <t>Above 10 years</t>
  </si>
  <si>
    <t>Avg. Maturity (5.2 years)</t>
  </si>
  <si>
    <t>Historical Trends</t>
  </si>
  <si>
    <t>GWP</t>
  </si>
  <si>
    <t>Expense of Management Ratio</t>
  </si>
  <si>
    <t>RI Ceding to GWP Ratio</t>
  </si>
  <si>
    <t>Risk Ceded</t>
  </si>
  <si>
    <t>NBHI_NL-33, NBHI_NL-4</t>
  </si>
  <si>
    <t>Star_NL-33, Star_NL-4</t>
  </si>
  <si>
    <t>Care_NL-33, Care_NL-4</t>
  </si>
  <si>
    <t>ManipalCigna_NL-33, ManipalCigna_NL-4</t>
  </si>
  <si>
    <t>ABHI_NL-33, ABHI_NL-4</t>
  </si>
  <si>
    <t>Narayana_NL-33, Narayana_NL-4</t>
  </si>
  <si>
    <t>Galaxy_NL-33, Galaxy_NL-4</t>
  </si>
  <si>
    <t>RI Commission to RI Ceding</t>
  </si>
  <si>
    <t>NBHI_NL-33, NBHI_NL-6</t>
  </si>
  <si>
    <t>Star_NL-33, Star_NL-6</t>
  </si>
  <si>
    <t>Care_NL-33, Care_NL-6</t>
  </si>
  <si>
    <t>ManipalCigna_NL-33, ManipalCigna_NL-6</t>
  </si>
  <si>
    <t>ABHI_NL-33, ABHI_NL-6</t>
  </si>
  <si>
    <t>Narayana_NL-33, Narayana_NL-6</t>
  </si>
  <si>
    <t>Galaxy_NL-33, Galaxy_NL-6</t>
  </si>
  <si>
    <t>ROE (SAHI)</t>
  </si>
  <si>
    <t>PAT/Avg. Net Worth</t>
  </si>
  <si>
    <t>Net Worth, NBHI_NL-2</t>
  </si>
  <si>
    <t>Net Worth, Star_NL-2</t>
  </si>
  <si>
    <t>Net Worth, Care_NL-2</t>
  </si>
  <si>
    <t>Net Worth, ManipalCigna_NL-3</t>
  </si>
  <si>
    <t>Net Worth, ABHI_NL-3</t>
  </si>
  <si>
    <t>Net Worth, Narayana_NL-3</t>
  </si>
  <si>
    <t>Net Worth, Galaxy_NL-3</t>
  </si>
  <si>
    <t>Solvency Ratios</t>
  </si>
  <si>
    <t>Star Health_NL-20</t>
  </si>
  <si>
    <t>Care Health_NL-20</t>
  </si>
  <si>
    <t>Manipal Cigna_NL-20</t>
  </si>
  <si>
    <t>Narayana Health_NL-20</t>
  </si>
  <si>
    <t>Galaxy Health_NL-20</t>
  </si>
  <si>
    <t>AUM</t>
  </si>
  <si>
    <t>AUM (Overall)</t>
  </si>
  <si>
    <t>NBHI_NL-12</t>
  </si>
  <si>
    <t>Star Health_NL-12</t>
  </si>
  <si>
    <t>Care Health_NL-12</t>
  </si>
  <si>
    <t>ABHI_NL-12</t>
  </si>
  <si>
    <t>Narayana Health_NL-12</t>
  </si>
  <si>
    <t>Galaxy Health_NL-12</t>
  </si>
  <si>
    <t>Investment Yield</t>
  </si>
  <si>
    <t>NBHI_NL-31</t>
  </si>
  <si>
    <t>Star Health_NL-31</t>
  </si>
  <si>
    <t>Care Health_NL-31</t>
  </si>
  <si>
    <t>Manipal Cigna_NL-31</t>
  </si>
  <si>
    <t>ABHI_NL-31</t>
  </si>
  <si>
    <t>Narayana Health_NL-31</t>
  </si>
  <si>
    <t>Galaxy Health_NL-31</t>
  </si>
  <si>
    <t>AUM -Shareholders</t>
  </si>
  <si>
    <t>AUM -Policyholders</t>
  </si>
  <si>
    <t>Distribution Footprint</t>
  </si>
  <si>
    <t>Employees</t>
  </si>
  <si>
    <t>On-roll Employee</t>
  </si>
  <si>
    <t>NBHI_NL-41</t>
  </si>
  <si>
    <t>Star Health_NL-41</t>
  </si>
  <si>
    <t>Care Health_NL-41</t>
  </si>
  <si>
    <t>Manipal Cigna_NL-41</t>
  </si>
  <si>
    <t>ABHI_NL-41</t>
  </si>
  <si>
    <t>Narayana Health_NL-41</t>
  </si>
  <si>
    <t>Galaxy Health_NL-41</t>
  </si>
  <si>
    <t>Agents</t>
  </si>
  <si>
    <t>4,00,370</t>
  </si>
  <si>
    <t>1,63,606</t>
  </si>
  <si>
    <t>1,34,427</t>
  </si>
  <si>
    <t>No. of Offices</t>
  </si>
  <si>
    <t>No. of branches at the end of the period</t>
  </si>
  <si>
    <t>Intermediaries</t>
  </si>
  <si>
    <t>CA-Banks</t>
  </si>
  <si>
    <t>CA-Others</t>
  </si>
  <si>
    <t>WA</t>
  </si>
  <si>
    <t>Star_NL-41</t>
  </si>
  <si>
    <t>Care_NL-41</t>
  </si>
  <si>
    <t>ManipalCigna_NL-41</t>
  </si>
  <si>
    <t>Narayana_NL-41</t>
  </si>
  <si>
    <t>Galaxy_NL-41</t>
  </si>
  <si>
    <t>Index</t>
  </si>
  <si>
    <t>Static text</t>
  </si>
  <si>
    <t>FY26_Q3</t>
  </si>
  <si>
    <t>FY25_Q3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</si>
</sst>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0.0"/>
    <numFmt numFmtId="167" formatCode="#,##0.0"/>
  </numFmts>
  <fonts count="12" x14ac:knownFonts="1">
    <font>
      <sz val="10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Arial"/>
      <family val="2"/>
    </font>
    <font>
      <u/>
      <sz val="10"/>
      <color theme="1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3" fillId="0" borderId="0"/>
    <xf numFmtId="9" fontId="3" fillId="0" borderId="0"/>
    <xf numFmtId="0" fontId="11" fillId="0" borderId="0"/>
  </cellStyleXfs>
  <cellXfs count="46">
    <xf numFmtId="0" fontId="0" fillId="0" borderId="0" xfId="0"/>
    <xf numFmtId="0" fontId="4" fillId="0" borderId="1" xfId="0" applyFont="1" applyBorder="1"/>
    <xf numFmtId="0" fontId="3" fillId="2" borderId="0" xfId="0" applyFont="1" applyFill="1"/>
    <xf numFmtId="0" fontId="5" fillId="0" borderId="0" xfId="0" applyFont="1"/>
    <xf numFmtId="0" fontId="4" fillId="0" borderId="2" xfId="0" applyFont="1" applyBorder="1"/>
    <xf numFmtId="0" fontId="1" fillId="0" borderId="3" xfId="0" applyFont="1" applyBorder="1"/>
    <xf numFmtId="0" fontId="7" fillId="0" borderId="0" xfId="0" applyFont="1"/>
    <xf numFmtId="0" fontId="3" fillId="0" borderId="0" xfId="0" applyFont="1"/>
    <xf numFmtId="0" fontId="0" fillId="3" borderId="0" xfId="0" applyFill="1"/>
    <xf numFmtId="0" fontId="0" fillId="7" borderId="0" xfId="0" applyFill="1"/>
    <xf numFmtId="0" fontId="4" fillId="7" borderId="2" xfId="0" applyFont="1" applyFill="1" applyBorder="1"/>
    <xf numFmtId="0" fontId="3" fillId="7" borderId="0" xfId="0" applyFont="1" applyFill="1"/>
    <xf numFmtId="0" fontId="0" fillId="4" borderId="0" xfId="0" applyFill="1"/>
    <xf numFmtId="2" fontId="8" fillId="0" borderId="0" xfId="0" applyNumberFormat="1" applyFont="1"/>
    <xf numFmtId="1" fontId="0" fillId="0" borderId="0" xfId="2" applyNumberFormat="1" applyFont="1"/>
    <xf numFmtId="0" fontId="10" fillId="0" borderId="2" xfId="0" applyFont="1" applyBorder="1"/>
    <xf numFmtId="0" fontId="4" fillId="0" borderId="0" xfId="0" applyFont="1"/>
    <xf numFmtId="0" fontId="11" fillId="0" borderId="0" xfId="3"/>
    <xf numFmtId="0" fontId="2" fillId="0" borderId="0" xfId="0" applyFont="1"/>
    <xf numFmtId="9" fontId="0" fillId="5" borderId="0" xfId="0" applyNumberFormat="1" applyFill="1"/>
    <xf numFmtId="9" fontId="0" fillId="0" borderId="0" xfId="0" applyNumberFormat="1"/>
    <xf numFmtId="9" fontId="0" fillId="6" borderId="0" xfId="0" applyNumberFormat="1" applyFill="1"/>
    <xf numFmtId="3" fontId="0" fillId="0" borderId="0" xfId="0" applyNumberFormat="1"/>
    <xf numFmtId="0" fontId="0" fillId="0" borderId="0" xfId="0"/>
    <xf numFmtId="1" fontId="0" fillId="0" borderId="0" xfId="0" applyNumberFormat="1"/>
    <xf numFmtId="2" fontId="0" fillId="0" borderId="0" xfId="0" applyNumberFormat="1"/>
    <xf numFmtId="2" fontId="0" fillId="7" borderId="0" xfId="0" applyNumberFormat="1" applyFill="1"/>
    <xf numFmtId="165" fontId="0" fillId="0" borderId="0" xfId="2" applyNumberFormat="1" applyFont="1"/>
    <xf numFmtId="9" fontId="0" fillId="0" borderId="0" xfId="2" applyFont="1"/>
    <xf numFmtId="0" fontId="6" fillId="0" borderId="0" xfId="0" applyFont="1"/>
    <xf numFmtId="4" fontId="0" fillId="0" borderId="0" xfId="0" applyNumberFormat="1"/>
    <xf numFmtId="10" fontId="0" fillId="0" borderId="0" xfId="0" applyNumberFormat="1"/>
    <xf numFmtId="10" fontId="6" fillId="0" borderId="0" xfId="0" applyNumberFormat="1" applyFont="1"/>
    <xf numFmtId="10" fontId="8" fillId="0" borderId="0" xfId="0" applyNumberFormat="1" applyFont="1"/>
    <xf numFmtId="164" fontId="0" fillId="0" borderId="0" xfId="1" applyNumberFormat="1" applyFont="1"/>
    <xf numFmtId="9" fontId="8" fillId="0" borderId="0" xfId="2" applyFont="1"/>
    <xf numFmtId="2" fontId="6" fillId="0" borderId="0" xfId="0" applyNumberFormat="1" applyFont="1"/>
    <xf numFmtId="4" fontId="8" fillId="0" borderId="0" xfId="0" applyNumberFormat="1" applyFont="1"/>
    <xf numFmtId="165" fontId="0" fillId="0" borderId="0" xfId="0" applyNumberFormat="1"/>
    <xf numFmtId="0" fontId="0" fillId="0" borderId="0" xfId="2" applyNumberFormat="1" applyFont="1"/>
    <xf numFmtId="0" fontId="2" fillId="4" borderId="0" xfId="0" applyFont="1" applyFill="1"/>
    <xf numFmtId="43" fontId="0" fillId="0" borderId="0" xfId="0" applyNumberFormat="1"/>
    <xf numFmtId="166" fontId="0" fillId="0" borderId="0" xfId="2" applyNumberFormat="1" applyFont="1"/>
    <xf numFmtId="167" fontId="8" fillId="0" borderId="0" xfId="0" applyNumberFormat="1" applyFont="1"/>
    <xf numFmtId="167" fontId="9" fillId="0" borderId="0" xfId="0" applyNumberFormat="1" applyFont="1"/>
    <xf numFmtId="167" fontId="0" fillId="0" borderId="0" xfId="0" applyNumberForma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icouncil.in/statistics/industry-statistics/segment-wise-report-on-homepage/" TargetMode="External"/><Relationship Id="rId2" Type="http://schemas.openxmlformats.org/officeDocument/2006/relationships/hyperlink" Target="https://www.gicouncil.in/statistics/industry-statistics/segment-wise-report-on-homepage/" TargetMode="External"/><Relationship Id="rId1" Type="http://schemas.openxmlformats.org/officeDocument/2006/relationships/hyperlink" Target="https://www.gicouncil.in/statistics/industry-statistics/segment-wise-report-on-homepage/" TargetMode="External"/><Relationship Id="rId4" Type="http://schemas.openxmlformats.org/officeDocument/2006/relationships/hyperlink" Target="https://www.adityabirlacapital.com/healthinsurance/assets/PDF/20260605T04055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5"/>
  <sheetViews>
    <sheetView tabSelected="1" zoomScale="85" zoomScaleNormal="85" workbookViewId="0">
      <pane xSplit="3" ySplit="1" topLeftCell="H239" activePane="bottomRight" state="frozen"/>
      <selection pane="topRight" activeCell="D1" sqref="D1"/>
      <selection pane="bottomLeft" activeCell="A3" sqref="A3"/>
      <selection pane="bottomRight" activeCell="G264" sqref="G264"/>
    </sheetView>
  </sheetViews>
  <sheetFormatPr defaultColWidth="8.85546875" defaultRowHeight="12.75" x14ac:dyDescent="0.2"/>
  <cols>
    <col min="1" max="1" width="8.85546875" style="23" customWidth="1"/>
    <col min="2" max="2" width="40.140625" style="23" customWidth="1"/>
    <col min="3" max="3" width="37.140625" style="23" bestFit="1" customWidth="1"/>
    <col min="4" max="4" width="14.85546875" style="23" customWidth="1"/>
    <col min="5" max="5" width="33.140625" style="23" customWidth="1"/>
    <col min="6" max="6" width="14.42578125" style="23" customWidth="1"/>
    <col min="7" max="7" width="225.85546875" style="23" bestFit="1" customWidth="1"/>
    <col min="8" max="8" width="9.42578125" style="23" bestFit="1" customWidth="1"/>
    <col min="9" max="9" width="22.85546875" style="23" bestFit="1" customWidth="1"/>
    <col min="10" max="10" width="11.28515625" style="23" bestFit="1" customWidth="1"/>
    <col min="11" max="14" width="9.7109375" style="23" bestFit="1" customWidth="1"/>
    <col min="15" max="15" width="8.85546875" style="23" customWidth="1"/>
    <col min="16" max="16384" width="8.85546875" style="23"/>
  </cols>
  <sheetData>
    <row r="1" spans="1:10" s="18" customFormat="1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40" t="s">
        <v>6</v>
      </c>
      <c r="H1" s="18" t="s">
        <v>373</v>
      </c>
      <c r="I1" s="18" t="s">
        <v>374</v>
      </c>
      <c r="J1" s="18" t="s">
        <v>7</v>
      </c>
    </row>
    <row r="2" spans="1:10" x14ac:dyDescent="0.2">
      <c r="A2">
        <v>3</v>
      </c>
      <c r="B2" t="s">
        <v>8</v>
      </c>
      <c r="C2" t="s">
        <v>9</v>
      </c>
      <c r="D2" s="7" t="s">
        <v>10</v>
      </c>
      <c r="E2" t="s">
        <v>11</v>
      </c>
      <c r="F2" t="s">
        <v>12</v>
      </c>
      <c r="G2" t="s">
        <v>13</v>
      </c>
      <c r="H2" s="34">
        <v>144761.66</v>
      </c>
      <c r="I2" s="34">
        <v>136569.48000000001</v>
      </c>
      <c r="J2" s="27">
        <f>IFERROR(H2/I2-1,0)</f>
        <v>5.9985437449128431E-2</v>
      </c>
    </row>
    <row r="3" spans="1:10" x14ac:dyDescent="0.2">
      <c r="A3">
        <v>3</v>
      </c>
      <c r="B3" t="s">
        <v>8</v>
      </c>
      <c r="C3" t="s">
        <v>9</v>
      </c>
      <c r="D3" s="7" t="s">
        <v>10</v>
      </c>
      <c r="E3" t="s">
        <v>14</v>
      </c>
      <c r="F3" t="s">
        <v>12</v>
      </c>
      <c r="G3" s="17" t="s">
        <v>13</v>
      </c>
      <c r="H3" s="34">
        <v>65159.11</v>
      </c>
      <c r="I3" s="34">
        <v>58724.039999999994</v>
      </c>
      <c r="J3" s="27">
        <f>H3/I3-1</f>
        <v>0.10958152742897131</v>
      </c>
    </row>
    <row r="4" spans="1:10" x14ac:dyDescent="0.2">
      <c r="A4">
        <v>3</v>
      </c>
      <c r="B4" t="s">
        <v>8</v>
      </c>
      <c r="C4" t="s">
        <v>9</v>
      </c>
      <c r="D4" s="7" t="s">
        <v>10</v>
      </c>
      <c r="E4" t="s">
        <v>15</v>
      </c>
      <c r="F4" t="s">
        <v>12</v>
      </c>
      <c r="G4" t="s">
        <v>13</v>
      </c>
      <c r="H4" s="34">
        <v>31286.95</v>
      </c>
      <c r="I4" s="34">
        <v>26714.01</v>
      </c>
      <c r="J4" s="27">
        <f>H4/I4-1</f>
        <v>0.17118133893039644</v>
      </c>
    </row>
    <row r="5" spans="1:10" x14ac:dyDescent="0.2">
      <c r="A5">
        <v>3</v>
      </c>
      <c r="B5" t="s">
        <v>8</v>
      </c>
      <c r="C5" t="s">
        <v>9</v>
      </c>
      <c r="D5" s="7" t="s">
        <v>10</v>
      </c>
      <c r="E5" t="s">
        <v>16</v>
      </c>
      <c r="F5" t="s">
        <v>12</v>
      </c>
      <c r="G5" t="s">
        <v>13</v>
      </c>
      <c r="H5" s="34">
        <v>9001.19</v>
      </c>
      <c r="I5" s="34">
        <v>8188.27</v>
      </c>
      <c r="J5" s="27">
        <f>H5/I5-1</f>
        <v>9.9278602195579824E-2</v>
      </c>
    </row>
    <row r="6" spans="1:10" x14ac:dyDescent="0.2">
      <c r="A6">
        <v>3</v>
      </c>
      <c r="B6" t="s">
        <v>8</v>
      </c>
      <c r="C6" t="s">
        <v>9</v>
      </c>
      <c r="D6" s="7" t="s">
        <v>10</v>
      </c>
      <c r="E6" t="s">
        <v>17</v>
      </c>
      <c r="F6" t="s">
        <v>12</v>
      </c>
      <c r="G6" t="s">
        <v>13</v>
      </c>
      <c r="H6" s="34">
        <v>22769.21</v>
      </c>
      <c r="I6" s="34">
        <v>18956.150000000001</v>
      </c>
      <c r="J6" s="27">
        <f>H6/I6-1</f>
        <v>0.20115160515188979</v>
      </c>
    </row>
    <row r="7" spans="1:10" x14ac:dyDescent="0.2">
      <c r="A7">
        <v>3</v>
      </c>
      <c r="B7" t="s">
        <v>8</v>
      </c>
      <c r="C7" t="s">
        <v>9</v>
      </c>
      <c r="D7" s="7" t="s">
        <v>10</v>
      </c>
      <c r="E7" t="s">
        <v>18</v>
      </c>
      <c r="F7" t="s">
        <v>12</v>
      </c>
      <c r="G7" t="s">
        <v>13</v>
      </c>
      <c r="H7" s="34">
        <v>4423.79</v>
      </c>
      <c r="I7" s="34">
        <v>4186.5200000000004</v>
      </c>
      <c r="J7" s="27">
        <f>H7/I7-1</f>
        <v>5.6674756122029546E-2</v>
      </c>
    </row>
    <row r="8" spans="1:10" x14ac:dyDescent="0.2">
      <c r="A8">
        <v>3</v>
      </c>
      <c r="B8" t="s">
        <v>8</v>
      </c>
      <c r="C8" t="s">
        <v>9</v>
      </c>
      <c r="D8" s="7" t="s">
        <v>10</v>
      </c>
      <c r="E8" t="s">
        <v>19</v>
      </c>
      <c r="F8" t="s">
        <v>12</v>
      </c>
      <c r="G8" t="s">
        <v>13</v>
      </c>
      <c r="H8" s="34">
        <v>0</v>
      </c>
      <c r="I8" s="34">
        <v>0</v>
      </c>
      <c r="J8" s="27">
        <f>IFERROR(H8/I8-1,0)</f>
        <v>0</v>
      </c>
    </row>
    <row r="9" spans="1:10" x14ac:dyDescent="0.2">
      <c r="A9">
        <v>3</v>
      </c>
      <c r="B9" t="s">
        <v>8</v>
      </c>
      <c r="C9" t="s">
        <v>9</v>
      </c>
      <c r="D9" t="s">
        <v>10</v>
      </c>
      <c r="E9" t="s">
        <v>20</v>
      </c>
      <c r="F9" t="s">
        <v>12</v>
      </c>
      <c r="G9" t="s">
        <v>13</v>
      </c>
      <c r="H9" s="34">
        <v>0</v>
      </c>
      <c r="I9" s="34">
        <v>0</v>
      </c>
      <c r="J9" s="27">
        <f>IFERROR(H9/I9-1,0)</f>
        <v>0</v>
      </c>
    </row>
    <row r="10" spans="1:10" x14ac:dyDescent="0.2">
      <c r="A10">
        <v>3</v>
      </c>
      <c r="B10" t="s">
        <v>8</v>
      </c>
      <c r="C10" t="s">
        <v>9</v>
      </c>
      <c r="D10" t="s">
        <v>10</v>
      </c>
      <c r="E10" t="s">
        <v>21</v>
      </c>
      <c r="F10" t="s">
        <v>12</v>
      </c>
      <c r="G10" t="s">
        <v>13</v>
      </c>
      <c r="H10" s="34">
        <v>5120.09</v>
      </c>
      <c r="I10" s="34">
        <v>4533.7500000000009</v>
      </c>
      <c r="J10" s="27">
        <f>H10/I10-1</f>
        <v>0.12932781913427061</v>
      </c>
    </row>
    <row r="11" spans="1:10" x14ac:dyDescent="0.2">
      <c r="A11">
        <v>3</v>
      </c>
      <c r="B11" t="s">
        <v>8</v>
      </c>
      <c r="C11" t="s">
        <v>9</v>
      </c>
      <c r="D11" t="s">
        <v>10</v>
      </c>
      <c r="E11" t="s">
        <v>22</v>
      </c>
      <c r="F11" t="s">
        <v>12</v>
      </c>
      <c r="G11" t="s">
        <v>13</v>
      </c>
      <c r="H11" s="34">
        <v>78048.94</v>
      </c>
      <c r="I11" s="34">
        <v>71681.27</v>
      </c>
      <c r="J11" s="27">
        <f>H11/I11-1</f>
        <v>8.8833108007154493E-2</v>
      </c>
    </row>
    <row r="12" spans="1:10" x14ac:dyDescent="0.2">
      <c r="A12">
        <v>3</v>
      </c>
      <c r="B12" t="s">
        <v>8</v>
      </c>
      <c r="C12" t="s">
        <v>9</v>
      </c>
      <c r="D12" t="s">
        <v>10</v>
      </c>
      <c r="E12" t="s">
        <v>23</v>
      </c>
      <c r="F12" t="s">
        <v>12</v>
      </c>
      <c r="G12" t="s">
        <v>13</v>
      </c>
      <c r="H12" s="34">
        <v>31990.080000000002</v>
      </c>
      <c r="I12" s="34">
        <v>29693.48</v>
      </c>
      <c r="J12" s="27">
        <f>H12/I12-1</f>
        <v>7.7343578455607132E-2</v>
      </c>
    </row>
    <row r="13" spans="1:10" x14ac:dyDescent="0.2">
      <c r="A13">
        <v>3</v>
      </c>
      <c r="B13" t="s">
        <v>8</v>
      </c>
      <c r="C13" t="s">
        <v>9</v>
      </c>
      <c r="D13" t="s">
        <v>10</v>
      </c>
      <c r="E13" t="s">
        <v>24</v>
      </c>
      <c r="F13" t="s">
        <v>12</v>
      </c>
      <c r="G13" t="s">
        <v>13</v>
      </c>
      <c r="H13" s="34">
        <v>46058.869999999988</v>
      </c>
      <c r="I13" s="34">
        <v>41987.82</v>
      </c>
      <c r="J13" s="27">
        <f>H13/I13-1</f>
        <v>9.6957879689871795E-2</v>
      </c>
    </row>
    <row r="14" spans="1:10" x14ac:dyDescent="0.2">
      <c r="A14">
        <v>3</v>
      </c>
      <c r="B14" t="s">
        <v>8</v>
      </c>
      <c r="C14" t="s">
        <v>9</v>
      </c>
      <c r="D14" t="s">
        <v>10</v>
      </c>
      <c r="E14" t="s">
        <v>25</v>
      </c>
      <c r="F14" t="s">
        <v>12</v>
      </c>
      <c r="G14" t="s">
        <v>13</v>
      </c>
      <c r="H14" s="34">
        <v>0</v>
      </c>
      <c r="I14" s="34">
        <v>0</v>
      </c>
      <c r="J14" s="27">
        <f>IFERROR(H14/I14-1,0)</f>
        <v>0</v>
      </c>
    </row>
    <row r="15" spans="1:10" x14ac:dyDescent="0.2">
      <c r="A15">
        <v>3</v>
      </c>
      <c r="B15" t="s">
        <v>8</v>
      </c>
      <c r="C15" t="s">
        <v>9</v>
      </c>
      <c r="D15" t="s">
        <v>10</v>
      </c>
      <c r="E15" t="s">
        <v>26</v>
      </c>
      <c r="F15" t="s">
        <v>12</v>
      </c>
      <c r="G15" s="17" t="s">
        <v>13</v>
      </c>
      <c r="H15" s="34">
        <v>0</v>
      </c>
      <c r="I15" s="34">
        <v>0</v>
      </c>
      <c r="J15" s="27">
        <f>IFERROR(H15/I15-1,0)</f>
        <v>0</v>
      </c>
    </row>
    <row r="16" spans="1:10" x14ac:dyDescent="0.2">
      <c r="A16">
        <v>3</v>
      </c>
      <c r="B16" t="s">
        <v>8</v>
      </c>
      <c r="C16" t="s">
        <v>9</v>
      </c>
      <c r="D16" t="s">
        <v>10</v>
      </c>
      <c r="E16" t="s">
        <v>27</v>
      </c>
      <c r="F16" t="s">
        <v>12</v>
      </c>
      <c r="G16" t="s">
        <v>13</v>
      </c>
      <c r="H16" s="34">
        <v>4692.7599999999993</v>
      </c>
      <c r="I16" s="34">
        <v>4391.4100000000017</v>
      </c>
      <c r="J16" s="27">
        <f t="shared" ref="J16:J35" si="0">H16/I16-1</f>
        <v>6.8622606406597786E-2</v>
      </c>
    </row>
    <row r="17" spans="1:10" x14ac:dyDescent="0.2">
      <c r="A17">
        <v>3</v>
      </c>
      <c r="B17" t="s">
        <v>8</v>
      </c>
      <c r="C17" t="s">
        <v>9</v>
      </c>
      <c r="D17" t="s">
        <v>10</v>
      </c>
      <c r="E17" t="s">
        <v>28</v>
      </c>
      <c r="F17" t="s">
        <v>12</v>
      </c>
      <c r="G17" t="s">
        <v>13</v>
      </c>
      <c r="H17" s="34">
        <v>9513.7100000000009</v>
      </c>
      <c r="I17" s="34">
        <v>6659.2900000000018</v>
      </c>
      <c r="J17" s="27">
        <f t="shared" si="0"/>
        <v>0.42863728715824045</v>
      </c>
    </row>
    <row r="18" spans="1:10" x14ac:dyDescent="0.2">
      <c r="A18">
        <v>3</v>
      </c>
      <c r="B18" t="s">
        <v>8</v>
      </c>
      <c r="C18" t="s">
        <v>9</v>
      </c>
      <c r="D18" t="s">
        <v>10</v>
      </c>
      <c r="E18" t="s">
        <v>29</v>
      </c>
      <c r="F18" t="s">
        <v>12</v>
      </c>
      <c r="G18" t="s">
        <v>13</v>
      </c>
      <c r="H18" s="34">
        <v>24549.59</v>
      </c>
      <c r="I18" s="34">
        <v>30709.889999999989</v>
      </c>
      <c r="J18" s="27">
        <f t="shared" si="0"/>
        <v>-0.20059661561796516</v>
      </c>
    </row>
    <row r="19" spans="1:10" x14ac:dyDescent="0.2">
      <c r="A19">
        <v>4</v>
      </c>
      <c r="B19" t="s">
        <v>8</v>
      </c>
      <c r="C19" s="7" t="s">
        <v>30</v>
      </c>
      <c r="D19" t="s">
        <v>10</v>
      </c>
      <c r="E19" t="s">
        <v>11</v>
      </c>
      <c r="F19" t="s">
        <v>31</v>
      </c>
      <c r="G19" t="s">
        <v>13</v>
      </c>
      <c r="H19">
        <v>44681.43</v>
      </c>
      <c r="I19">
        <v>39829.240000000013</v>
      </c>
      <c r="J19" s="27">
        <f t="shared" si="0"/>
        <v>0.12182482015725093</v>
      </c>
    </row>
    <row r="20" spans="1:10" x14ac:dyDescent="0.2">
      <c r="A20">
        <v>4</v>
      </c>
      <c r="B20" t="s">
        <v>8</v>
      </c>
      <c r="C20" s="7" t="s">
        <v>30</v>
      </c>
      <c r="D20" t="s">
        <v>10</v>
      </c>
      <c r="E20" t="s">
        <v>14</v>
      </c>
      <c r="F20" t="s">
        <v>31</v>
      </c>
      <c r="G20" t="s">
        <v>13</v>
      </c>
      <c r="H20">
        <v>33779.58</v>
      </c>
      <c r="I20">
        <v>28359.62</v>
      </c>
      <c r="J20" s="27">
        <f t="shared" si="0"/>
        <v>0.19111539576341308</v>
      </c>
    </row>
    <row r="21" spans="1:10" x14ac:dyDescent="0.2">
      <c r="A21">
        <v>4</v>
      </c>
      <c r="B21" t="s">
        <v>8</v>
      </c>
      <c r="C21" s="7" t="s">
        <v>30</v>
      </c>
      <c r="D21" t="s">
        <v>10</v>
      </c>
      <c r="E21" t="s">
        <v>15</v>
      </c>
      <c r="F21" t="s">
        <v>31</v>
      </c>
      <c r="G21" t="s">
        <v>13</v>
      </c>
      <c r="H21">
        <v>31262.959999999999</v>
      </c>
      <c r="I21">
        <v>26713.89</v>
      </c>
      <c r="J21" s="27">
        <f t="shared" si="0"/>
        <v>0.17028856523703584</v>
      </c>
    </row>
    <row r="22" spans="1:10" x14ac:dyDescent="0.2">
      <c r="A22">
        <v>4</v>
      </c>
      <c r="B22" t="s">
        <v>8</v>
      </c>
      <c r="C22" s="7" t="s">
        <v>30</v>
      </c>
      <c r="D22" t="s">
        <v>10</v>
      </c>
      <c r="E22" s="7" t="s">
        <v>32</v>
      </c>
      <c r="F22" t="s">
        <v>33</v>
      </c>
      <c r="G22" t="s">
        <v>13</v>
      </c>
      <c r="H22">
        <v>38219.29</v>
      </c>
      <c r="I22">
        <v>32809.97</v>
      </c>
      <c r="J22" s="27">
        <f t="shared" si="0"/>
        <v>0.1648681787883377</v>
      </c>
    </row>
    <row r="23" spans="1:10" x14ac:dyDescent="0.2">
      <c r="A23">
        <v>4</v>
      </c>
      <c r="B23" t="s">
        <v>8</v>
      </c>
      <c r="C23" s="7" t="s">
        <v>30</v>
      </c>
      <c r="D23" t="s">
        <v>10</v>
      </c>
      <c r="E23" s="7" t="s">
        <v>34</v>
      </c>
      <c r="F23" t="s">
        <v>33</v>
      </c>
      <c r="G23" t="s">
        <v>13</v>
      </c>
      <c r="H23">
        <v>53258.9</v>
      </c>
      <c r="I23">
        <v>47316.11</v>
      </c>
      <c r="J23" s="27">
        <f t="shared" si="0"/>
        <v>0.12559760301512535</v>
      </c>
    </row>
    <row r="24" spans="1:10" x14ac:dyDescent="0.2">
      <c r="A24">
        <v>4</v>
      </c>
      <c r="B24" t="s">
        <v>8</v>
      </c>
      <c r="C24" s="7" t="s">
        <v>30</v>
      </c>
      <c r="D24" t="s">
        <v>10</v>
      </c>
      <c r="E24" s="7" t="s">
        <v>35</v>
      </c>
      <c r="F24" t="s">
        <v>33</v>
      </c>
      <c r="G24" t="s">
        <v>13</v>
      </c>
      <c r="H24">
        <v>7571.43</v>
      </c>
      <c r="I24">
        <v>7031.34</v>
      </c>
      <c r="J24" s="27">
        <f t="shared" si="0"/>
        <v>7.6811816808744826E-2</v>
      </c>
    </row>
    <row r="25" spans="1:10" x14ac:dyDescent="0.2">
      <c r="A25">
        <v>4</v>
      </c>
      <c r="B25" t="s">
        <v>8</v>
      </c>
      <c r="C25" s="7" t="s">
        <v>30</v>
      </c>
      <c r="D25" t="s">
        <v>10</v>
      </c>
      <c r="E25" s="7" t="s">
        <v>36</v>
      </c>
      <c r="F25" t="s">
        <v>33</v>
      </c>
      <c r="G25" t="s">
        <v>13</v>
      </c>
      <c r="H25">
        <v>1184.5899999999999</v>
      </c>
      <c r="I25">
        <v>1086.04</v>
      </c>
      <c r="J25" s="27">
        <f t="shared" si="0"/>
        <v>9.0742514087878812E-2</v>
      </c>
    </row>
    <row r="26" spans="1:10" x14ac:dyDescent="0.2">
      <c r="A26">
        <v>4</v>
      </c>
      <c r="B26" t="s">
        <v>8</v>
      </c>
      <c r="C26" s="7" t="s">
        <v>30</v>
      </c>
      <c r="D26" t="s">
        <v>10</v>
      </c>
      <c r="E26" s="7" t="s">
        <v>28</v>
      </c>
      <c r="F26" t="s">
        <v>31</v>
      </c>
      <c r="G26" t="s">
        <v>13</v>
      </c>
      <c r="H26">
        <v>9513.7100000000009</v>
      </c>
      <c r="I26">
        <v>6659.2900000000018</v>
      </c>
      <c r="J26" s="27">
        <f t="shared" si="0"/>
        <v>0.42863728715824045</v>
      </c>
    </row>
    <row r="27" spans="1:10" x14ac:dyDescent="0.2">
      <c r="A27">
        <v>5</v>
      </c>
      <c r="B27" t="s">
        <v>8</v>
      </c>
      <c r="C27" s="7" t="s">
        <v>37</v>
      </c>
      <c r="D27" t="s">
        <v>10</v>
      </c>
      <c r="E27" s="1" t="s">
        <v>38</v>
      </c>
      <c r="F27" t="s">
        <v>39</v>
      </c>
      <c r="G27" t="s">
        <v>13</v>
      </c>
      <c r="H27">
        <v>5706</v>
      </c>
      <c r="I27">
        <v>4684</v>
      </c>
      <c r="J27" s="27">
        <f t="shared" si="0"/>
        <v>0.21818958155422719</v>
      </c>
    </row>
    <row r="28" spans="1:10" x14ac:dyDescent="0.2">
      <c r="A28">
        <v>5</v>
      </c>
      <c r="B28" t="s">
        <v>8</v>
      </c>
      <c r="C28" s="7" t="s">
        <v>37</v>
      </c>
      <c r="D28" t="s">
        <v>10</v>
      </c>
      <c r="E28" s="1" t="s">
        <v>40</v>
      </c>
      <c r="F28" t="s">
        <v>39</v>
      </c>
      <c r="G28" t="s">
        <v>13</v>
      </c>
      <c r="H28">
        <v>4418</v>
      </c>
      <c r="I28">
        <v>3219</v>
      </c>
      <c r="J28" s="27">
        <f t="shared" si="0"/>
        <v>0.37247592420006215</v>
      </c>
    </row>
    <row r="29" spans="1:10" x14ac:dyDescent="0.2">
      <c r="A29">
        <v>5</v>
      </c>
      <c r="B29" t="s">
        <v>8</v>
      </c>
      <c r="C29" s="7" t="s">
        <v>37</v>
      </c>
      <c r="D29" t="s">
        <v>10</v>
      </c>
      <c r="E29" s="1" t="s">
        <v>41</v>
      </c>
      <c r="F29" t="s">
        <v>39</v>
      </c>
      <c r="G29" t="s">
        <v>13</v>
      </c>
      <c r="H29">
        <v>6879</v>
      </c>
      <c r="I29">
        <v>5997</v>
      </c>
      <c r="J29" s="27">
        <f t="shared" si="0"/>
        <v>0.14707353676838419</v>
      </c>
    </row>
    <row r="30" spans="1:10" x14ac:dyDescent="0.2">
      <c r="A30">
        <v>5</v>
      </c>
      <c r="B30" t="s">
        <v>8</v>
      </c>
      <c r="C30" s="7" t="s">
        <v>37</v>
      </c>
      <c r="D30" t="s">
        <v>10</v>
      </c>
      <c r="E30" s="1" t="s">
        <v>42</v>
      </c>
      <c r="F30" t="s">
        <v>39</v>
      </c>
      <c r="G30" t="s">
        <v>13</v>
      </c>
      <c r="H30">
        <v>76</v>
      </c>
      <c r="I30">
        <v>2</v>
      </c>
      <c r="J30" s="27">
        <f t="shared" si="0"/>
        <v>37</v>
      </c>
    </row>
    <row r="31" spans="1:10" x14ac:dyDescent="0.2">
      <c r="A31">
        <v>5</v>
      </c>
      <c r="B31" t="s">
        <v>8</v>
      </c>
      <c r="C31" s="7" t="s">
        <v>37</v>
      </c>
      <c r="D31" t="s">
        <v>10</v>
      </c>
      <c r="E31" s="1" t="s">
        <v>43</v>
      </c>
      <c r="F31" t="s">
        <v>39</v>
      </c>
      <c r="G31" t="s">
        <v>13</v>
      </c>
      <c r="H31">
        <v>1545</v>
      </c>
      <c r="I31">
        <v>1210</v>
      </c>
      <c r="J31" s="27">
        <f t="shared" si="0"/>
        <v>0.27685950413223148</v>
      </c>
    </row>
    <row r="32" spans="1:10" x14ac:dyDescent="0.2">
      <c r="A32">
        <v>5</v>
      </c>
      <c r="B32" t="s">
        <v>8</v>
      </c>
      <c r="C32" s="7" t="s">
        <v>37</v>
      </c>
      <c r="D32" t="s">
        <v>10</v>
      </c>
      <c r="E32" s="1" t="s">
        <v>44</v>
      </c>
      <c r="F32" t="s">
        <v>39</v>
      </c>
      <c r="G32" t="s">
        <v>13</v>
      </c>
      <c r="H32">
        <v>24</v>
      </c>
      <c r="I32">
        <v>1</v>
      </c>
      <c r="J32" s="27">
        <f t="shared" si="0"/>
        <v>23</v>
      </c>
    </row>
    <row r="33" spans="1:10" x14ac:dyDescent="0.2">
      <c r="A33">
        <v>5</v>
      </c>
      <c r="B33" t="s">
        <v>8</v>
      </c>
      <c r="C33" s="7" t="s">
        <v>37</v>
      </c>
      <c r="D33" t="s">
        <v>10</v>
      </c>
      <c r="E33" s="1" t="s">
        <v>45</v>
      </c>
      <c r="F33" t="s">
        <v>39</v>
      </c>
      <c r="G33" t="s">
        <v>13</v>
      </c>
      <c r="H33">
        <v>12638</v>
      </c>
      <c r="I33">
        <v>11608</v>
      </c>
      <c r="J33" s="27">
        <f t="shared" si="0"/>
        <v>8.8731909028256339E-2</v>
      </c>
    </row>
    <row r="34" spans="1:10" x14ac:dyDescent="0.2">
      <c r="A34">
        <v>6</v>
      </c>
      <c r="B34" t="s">
        <v>8</v>
      </c>
      <c r="C34" s="7" t="s">
        <v>37</v>
      </c>
      <c r="D34" t="s">
        <v>10</v>
      </c>
      <c r="E34" s="7" t="s">
        <v>32</v>
      </c>
      <c r="F34" t="s">
        <v>31</v>
      </c>
      <c r="G34" t="s">
        <v>13</v>
      </c>
      <c r="H34">
        <v>22345.279999999999</v>
      </c>
      <c r="I34">
        <v>18816.57</v>
      </c>
      <c r="J34" s="27">
        <f t="shared" si="0"/>
        <v>0.18753205286617058</v>
      </c>
    </row>
    <row r="35" spans="1:10" x14ac:dyDescent="0.2">
      <c r="A35">
        <v>6</v>
      </c>
      <c r="B35" t="s">
        <v>8</v>
      </c>
      <c r="C35" s="7" t="s">
        <v>37</v>
      </c>
      <c r="D35" t="s">
        <v>10</v>
      </c>
      <c r="E35" s="7" t="s">
        <v>34</v>
      </c>
      <c r="F35" t="s">
        <v>31</v>
      </c>
      <c r="G35" t="s">
        <v>13</v>
      </c>
      <c r="H35">
        <v>8086.0399999999991</v>
      </c>
      <c r="I35">
        <v>7054.1500000000005</v>
      </c>
      <c r="J35" s="27">
        <f t="shared" si="0"/>
        <v>0.14628126705556288</v>
      </c>
    </row>
    <row r="36" spans="1:10" x14ac:dyDescent="0.2">
      <c r="A36">
        <v>6</v>
      </c>
      <c r="B36" t="s">
        <v>8</v>
      </c>
      <c r="C36" s="7" t="s">
        <v>37</v>
      </c>
      <c r="D36" t="s">
        <v>10</v>
      </c>
      <c r="E36" s="7" t="s">
        <v>35</v>
      </c>
      <c r="F36" t="s">
        <v>31</v>
      </c>
      <c r="G36" t="s">
        <v>13</v>
      </c>
      <c r="H36">
        <v>0</v>
      </c>
      <c r="I36">
        <v>0</v>
      </c>
      <c r="J36" s="27"/>
    </row>
    <row r="37" spans="1:10" x14ac:dyDescent="0.2">
      <c r="A37">
        <v>6</v>
      </c>
      <c r="B37" t="s">
        <v>8</v>
      </c>
      <c r="C37" s="7" t="s">
        <v>37</v>
      </c>
      <c r="D37" t="s">
        <v>10</v>
      </c>
      <c r="E37" s="7" t="s">
        <v>36</v>
      </c>
      <c r="F37" t="s">
        <v>31</v>
      </c>
      <c r="G37" t="s">
        <v>13</v>
      </c>
      <c r="H37">
        <v>133.28</v>
      </c>
      <c r="I37">
        <v>161.54</v>
      </c>
      <c r="J37" s="27">
        <f t="shared" ref="J37:J50" si="1">H37/I37-1</f>
        <v>-0.17494119103627581</v>
      </c>
    </row>
    <row r="38" spans="1:10" x14ac:dyDescent="0.2">
      <c r="A38">
        <v>6</v>
      </c>
      <c r="B38" t="s">
        <v>8</v>
      </c>
      <c r="C38" s="7" t="s">
        <v>37</v>
      </c>
      <c r="D38" t="s">
        <v>10</v>
      </c>
      <c r="E38" s="7" t="s">
        <v>28</v>
      </c>
      <c r="F38" t="s">
        <v>31</v>
      </c>
      <c r="G38" t="s">
        <v>13</v>
      </c>
      <c r="H38">
        <v>722.31</v>
      </c>
      <c r="I38">
        <v>681.63</v>
      </c>
      <c r="J38" s="27">
        <f t="shared" si="1"/>
        <v>5.9680471810219515E-2</v>
      </c>
    </row>
    <row r="39" spans="1:10" x14ac:dyDescent="0.2">
      <c r="A39">
        <v>6</v>
      </c>
      <c r="B39" t="s">
        <v>8</v>
      </c>
      <c r="C39" s="7" t="s">
        <v>46</v>
      </c>
      <c r="D39" t="s">
        <v>10</v>
      </c>
      <c r="E39" s="7" t="s">
        <v>32</v>
      </c>
      <c r="F39" t="s">
        <v>31</v>
      </c>
      <c r="G39" t="s">
        <v>13</v>
      </c>
      <c r="H39">
        <v>10565.7</v>
      </c>
      <c r="I39">
        <v>9087.5400000000009</v>
      </c>
      <c r="J39" s="27">
        <f t="shared" si="1"/>
        <v>0.16265788101070244</v>
      </c>
    </row>
    <row r="40" spans="1:10" x14ac:dyDescent="0.2">
      <c r="A40">
        <v>6</v>
      </c>
      <c r="B40" t="s">
        <v>8</v>
      </c>
      <c r="C40" s="7" t="s">
        <v>46</v>
      </c>
      <c r="D40" t="s">
        <v>10</v>
      </c>
      <c r="E40" s="7" t="s">
        <v>34</v>
      </c>
      <c r="F40" t="s">
        <v>31</v>
      </c>
      <c r="G40" t="s">
        <v>13</v>
      </c>
      <c r="H40">
        <v>24410.48</v>
      </c>
      <c r="I40">
        <v>22113.15</v>
      </c>
      <c r="J40" s="27">
        <f t="shared" si="1"/>
        <v>0.10388976694862539</v>
      </c>
    </row>
    <row r="41" spans="1:10" x14ac:dyDescent="0.2">
      <c r="A41">
        <v>6</v>
      </c>
      <c r="B41" t="s">
        <v>8</v>
      </c>
      <c r="C41" s="7" t="s">
        <v>46</v>
      </c>
      <c r="D41" t="s">
        <v>10</v>
      </c>
      <c r="E41" s="7" t="s">
        <v>35</v>
      </c>
      <c r="F41" t="s">
        <v>31</v>
      </c>
      <c r="G41" t="s">
        <v>13</v>
      </c>
      <c r="H41">
        <v>4482.1899999999996</v>
      </c>
      <c r="I41">
        <v>3897.56</v>
      </c>
      <c r="J41" s="27">
        <f t="shared" si="1"/>
        <v>0.14999897371688942</v>
      </c>
    </row>
    <row r="42" spans="1:10" x14ac:dyDescent="0.2">
      <c r="A42">
        <v>6</v>
      </c>
      <c r="B42" t="s">
        <v>8</v>
      </c>
      <c r="C42" s="7" t="s">
        <v>46</v>
      </c>
      <c r="D42" t="s">
        <v>10</v>
      </c>
      <c r="E42" s="7" t="s">
        <v>36</v>
      </c>
      <c r="F42" t="s">
        <v>31</v>
      </c>
      <c r="G42" t="s">
        <v>13</v>
      </c>
      <c r="H42">
        <v>1040.98</v>
      </c>
      <c r="I42">
        <v>912.5200000000001</v>
      </c>
      <c r="J42" s="27">
        <f t="shared" si="1"/>
        <v>0.14077499671240079</v>
      </c>
    </row>
    <row r="43" spans="1:10" x14ac:dyDescent="0.2">
      <c r="A43">
        <v>6</v>
      </c>
      <c r="B43" t="s">
        <v>8</v>
      </c>
      <c r="C43" s="7" t="s">
        <v>46</v>
      </c>
      <c r="D43" t="s">
        <v>10</v>
      </c>
      <c r="E43" s="7" t="s">
        <v>28</v>
      </c>
      <c r="F43" t="s">
        <v>31</v>
      </c>
      <c r="G43" t="s">
        <v>13</v>
      </c>
      <c r="H43">
        <v>4182.08</v>
      </c>
      <c r="I43">
        <v>3818.4700000000012</v>
      </c>
      <c r="J43" s="27">
        <f t="shared" si="1"/>
        <v>9.5224003331176865E-2</v>
      </c>
    </row>
    <row r="44" spans="1:10" x14ac:dyDescent="0.2">
      <c r="A44">
        <v>6</v>
      </c>
      <c r="B44" t="s">
        <v>8</v>
      </c>
      <c r="C44" s="7" t="s">
        <v>47</v>
      </c>
      <c r="D44" t="s">
        <v>10</v>
      </c>
      <c r="E44" s="7" t="s">
        <v>32</v>
      </c>
      <c r="F44" t="s">
        <v>31</v>
      </c>
      <c r="G44" t="s">
        <v>13</v>
      </c>
      <c r="H44">
        <v>5308.31</v>
      </c>
      <c r="I44">
        <v>4905.8600000000006</v>
      </c>
      <c r="J44" s="27">
        <f t="shared" si="1"/>
        <v>8.203454644037933E-2</v>
      </c>
    </row>
    <row r="45" spans="1:10" x14ac:dyDescent="0.2">
      <c r="A45">
        <v>6</v>
      </c>
      <c r="B45" t="s">
        <v>8</v>
      </c>
      <c r="C45" s="7" t="s">
        <v>47</v>
      </c>
      <c r="D45" t="s">
        <v>10</v>
      </c>
      <c r="E45" s="7" t="s">
        <v>34</v>
      </c>
      <c r="F45" t="s">
        <v>31</v>
      </c>
      <c r="G45" t="s">
        <v>13</v>
      </c>
      <c r="H45">
        <v>20762.38</v>
      </c>
      <c r="I45">
        <v>18148.810000000001</v>
      </c>
      <c r="J45" s="27">
        <f t="shared" si="1"/>
        <v>0.14400778894043187</v>
      </c>
    </row>
    <row r="46" spans="1:10" x14ac:dyDescent="0.2">
      <c r="A46">
        <v>6</v>
      </c>
      <c r="B46" t="s">
        <v>8</v>
      </c>
      <c r="C46" s="7" t="s">
        <v>47</v>
      </c>
      <c r="D46" t="s">
        <v>10</v>
      </c>
      <c r="E46" s="7" t="s">
        <v>35</v>
      </c>
      <c r="F46" t="s">
        <v>31</v>
      </c>
      <c r="G46" t="s">
        <v>13</v>
      </c>
      <c r="H46">
        <v>3089.24</v>
      </c>
      <c r="I46">
        <v>3133.78</v>
      </c>
      <c r="J46" s="27">
        <f t="shared" si="1"/>
        <v>-1.4212867527395145E-2</v>
      </c>
    </row>
    <row r="47" spans="1:10" x14ac:dyDescent="0.2">
      <c r="A47">
        <v>6</v>
      </c>
      <c r="B47" t="s">
        <v>8</v>
      </c>
      <c r="C47" s="7" t="s">
        <v>47</v>
      </c>
      <c r="D47" t="s">
        <v>10</v>
      </c>
      <c r="E47" s="7" t="s">
        <v>36</v>
      </c>
      <c r="F47" t="s">
        <v>31</v>
      </c>
      <c r="G47" t="s">
        <v>13</v>
      </c>
      <c r="H47">
        <v>10.33</v>
      </c>
      <c r="I47">
        <v>11.98</v>
      </c>
      <c r="J47" s="27">
        <f t="shared" si="1"/>
        <v>-0.13772954924874792</v>
      </c>
    </row>
    <row r="48" spans="1:10" x14ac:dyDescent="0.2">
      <c r="A48">
        <v>6</v>
      </c>
      <c r="B48" t="s">
        <v>8</v>
      </c>
      <c r="C48" s="7" t="s">
        <v>47</v>
      </c>
      <c r="D48" t="s">
        <v>10</v>
      </c>
      <c r="E48" s="7" t="s">
        <v>28</v>
      </c>
      <c r="F48" t="s">
        <v>31</v>
      </c>
      <c r="G48" t="s">
        <v>13</v>
      </c>
      <c r="H48">
        <v>4609.3200000000006</v>
      </c>
      <c r="I48">
        <v>2159.19</v>
      </c>
      <c r="J48" s="27">
        <f t="shared" si="1"/>
        <v>1.1347449738096231</v>
      </c>
    </row>
    <row r="49" spans="1:10" x14ac:dyDescent="0.2">
      <c r="A49">
        <v>7</v>
      </c>
      <c r="B49" t="s">
        <v>8</v>
      </c>
      <c r="C49" s="1" t="s">
        <v>48</v>
      </c>
      <c r="D49" t="s">
        <v>10</v>
      </c>
      <c r="E49" s="2" t="s">
        <v>32</v>
      </c>
      <c r="F49" t="s">
        <v>49</v>
      </c>
      <c r="G49" t="s">
        <v>13</v>
      </c>
      <c r="H49">
        <v>3817.38</v>
      </c>
      <c r="I49">
        <v>3136</v>
      </c>
      <c r="J49" s="27">
        <f t="shared" si="1"/>
        <v>0.21727678571428566</v>
      </c>
    </row>
    <row r="50" spans="1:10" ht="14.45" customHeight="1" x14ac:dyDescent="0.25">
      <c r="A50">
        <v>7</v>
      </c>
      <c r="B50" t="s">
        <v>8</v>
      </c>
      <c r="C50" s="1" t="s">
        <v>48</v>
      </c>
      <c r="D50" t="s">
        <v>10</v>
      </c>
      <c r="E50" s="3" t="s">
        <v>34</v>
      </c>
      <c r="F50" t="s">
        <v>49</v>
      </c>
      <c r="G50" t="s">
        <v>13</v>
      </c>
      <c r="H50">
        <v>1803.98</v>
      </c>
      <c r="I50">
        <v>1440.58</v>
      </c>
      <c r="J50" s="27">
        <f t="shared" si="1"/>
        <v>0.25225950658762453</v>
      </c>
    </row>
    <row r="51" spans="1:10" x14ac:dyDescent="0.2">
      <c r="A51">
        <v>7</v>
      </c>
      <c r="B51" t="s">
        <v>8</v>
      </c>
      <c r="C51" s="1" t="s">
        <v>48</v>
      </c>
      <c r="D51" t="s">
        <v>10</v>
      </c>
      <c r="E51" s="7" t="s">
        <v>35</v>
      </c>
      <c r="F51" t="s">
        <v>49</v>
      </c>
      <c r="G51" t="s">
        <v>13</v>
      </c>
      <c r="H51" t="s">
        <v>50</v>
      </c>
      <c r="I51" t="s">
        <v>50</v>
      </c>
      <c r="J51" s="27"/>
    </row>
    <row r="52" spans="1:10" x14ac:dyDescent="0.2">
      <c r="A52">
        <v>7</v>
      </c>
      <c r="B52" t="s">
        <v>8</v>
      </c>
      <c r="C52" s="1" t="s">
        <v>48</v>
      </c>
      <c r="D52" t="s">
        <v>10</v>
      </c>
      <c r="E52" s="7" t="s">
        <v>36</v>
      </c>
      <c r="F52" t="s">
        <v>49</v>
      </c>
      <c r="G52" t="s">
        <v>13</v>
      </c>
      <c r="H52">
        <v>11.81</v>
      </c>
      <c r="I52">
        <v>15</v>
      </c>
      <c r="J52" s="27">
        <f>H52/I52-1</f>
        <v>-0.21266666666666667</v>
      </c>
    </row>
    <row r="53" spans="1:10" x14ac:dyDescent="0.2">
      <c r="A53">
        <v>7</v>
      </c>
      <c r="B53" t="s">
        <v>8</v>
      </c>
      <c r="C53" s="1" t="s">
        <v>51</v>
      </c>
      <c r="D53" t="s">
        <v>10</v>
      </c>
      <c r="E53" s="7" t="s">
        <v>28</v>
      </c>
      <c r="F53" t="s">
        <v>49</v>
      </c>
      <c r="G53" t="s">
        <v>13</v>
      </c>
      <c r="H53" t="e">
        <v>#N/A</v>
      </c>
      <c r="I53" t="e">
        <v>#N/A</v>
      </c>
      <c r="J53" s="27" t="e">
        <f>H53/I53-1</f>
        <v>#N/A</v>
      </c>
    </row>
    <row r="54" spans="1:10" ht="14.45" customHeight="1" x14ac:dyDescent="0.25">
      <c r="A54">
        <v>7</v>
      </c>
      <c r="B54" t="s">
        <v>8</v>
      </c>
      <c r="C54" s="3" t="s">
        <v>52</v>
      </c>
      <c r="D54" t="s">
        <v>10</v>
      </c>
      <c r="E54" s="2" t="s">
        <v>32</v>
      </c>
      <c r="F54" t="s">
        <v>49</v>
      </c>
      <c r="G54" t="s">
        <v>13</v>
      </c>
      <c r="H54">
        <v>1385.22</v>
      </c>
      <c r="I54">
        <v>996.77</v>
      </c>
      <c r="J54" s="27">
        <f>H54/I54-1</f>
        <v>0.38970875929251481</v>
      </c>
    </row>
    <row r="55" spans="1:10" ht="14.45" customHeight="1" x14ac:dyDescent="0.25">
      <c r="A55">
        <v>7</v>
      </c>
      <c r="B55" t="s">
        <v>8</v>
      </c>
      <c r="C55" s="3" t="s">
        <v>52</v>
      </c>
      <c r="D55" t="s">
        <v>10</v>
      </c>
      <c r="E55" s="7" t="s">
        <v>34</v>
      </c>
      <c r="F55" t="s">
        <v>49</v>
      </c>
      <c r="G55" t="s">
        <v>13</v>
      </c>
      <c r="H55">
        <v>2697.18</v>
      </c>
      <c r="I55">
        <v>1885.86</v>
      </c>
      <c r="J55" s="27">
        <f>H55/I55-1</f>
        <v>0.43021221087461425</v>
      </c>
    </row>
    <row r="56" spans="1:10" ht="14.45" customHeight="1" x14ac:dyDescent="0.25">
      <c r="A56">
        <v>7</v>
      </c>
      <c r="B56" t="s">
        <v>8</v>
      </c>
      <c r="C56" s="3" t="s">
        <v>52</v>
      </c>
      <c r="D56" t="s">
        <v>10</v>
      </c>
      <c r="E56" s="7" t="s">
        <v>35</v>
      </c>
      <c r="F56" t="s">
        <v>49</v>
      </c>
      <c r="G56" t="s">
        <v>13</v>
      </c>
      <c r="H56" t="s">
        <v>50</v>
      </c>
      <c r="I56" t="s">
        <v>50</v>
      </c>
      <c r="J56" s="27"/>
    </row>
    <row r="57" spans="1:10" ht="14.45" customHeight="1" x14ac:dyDescent="0.25">
      <c r="A57">
        <v>7</v>
      </c>
      <c r="B57" t="s">
        <v>8</v>
      </c>
      <c r="C57" s="3" t="s">
        <v>52</v>
      </c>
      <c r="D57" t="s">
        <v>10</v>
      </c>
      <c r="E57" s="7" t="s">
        <v>36</v>
      </c>
      <c r="F57" t="s">
        <v>49</v>
      </c>
      <c r="G57" t="s">
        <v>13</v>
      </c>
      <c r="H57">
        <v>24.61</v>
      </c>
      <c r="I57">
        <v>41.31</v>
      </c>
      <c r="J57" s="27">
        <f>H57/I57-1</f>
        <v>-0.40426046961994677</v>
      </c>
    </row>
    <row r="58" spans="1:10" ht="14.45" customHeight="1" x14ac:dyDescent="0.25">
      <c r="A58">
        <v>7</v>
      </c>
      <c r="B58" t="s">
        <v>8</v>
      </c>
      <c r="C58" s="3" t="s">
        <v>52</v>
      </c>
      <c r="D58" t="s">
        <v>10</v>
      </c>
      <c r="E58" s="7" t="s">
        <v>28</v>
      </c>
      <c r="F58" t="s">
        <v>49</v>
      </c>
      <c r="G58" t="s">
        <v>13</v>
      </c>
      <c r="H58">
        <v>311.16000000000003</v>
      </c>
      <c r="I58">
        <v>294.62</v>
      </c>
      <c r="J58" s="27">
        <f>H58/I58-1</f>
        <v>5.6140112687529831E-2</v>
      </c>
    </row>
    <row r="59" spans="1:10" ht="14.45" customHeight="1" x14ac:dyDescent="0.25">
      <c r="A59">
        <v>7</v>
      </c>
      <c r="B59" t="s">
        <v>8</v>
      </c>
      <c r="C59" s="3" t="s">
        <v>53</v>
      </c>
      <c r="D59" t="s">
        <v>10</v>
      </c>
      <c r="E59" s="2" t="s">
        <v>32</v>
      </c>
      <c r="F59" t="s">
        <v>49</v>
      </c>
      <c r="G59" t="s">
        <v>13</v>
      </c>
      <c r="H59">
        <v>4367.03</v>
      </c>
      <c r="I59">
        <v>3541.06</v>
      </c>
      <c r="J59" s="27">
        <f>H59/I59-1</f>
        <v>0.23325501403534532</v>
      </c>
    </row>
    <row r="60" spans="1:10" ht="14.45" customHeight="1" x14ac:dyDescent="0.25">
      <c r="A60">
        <v>7</v>
      </c>
      <c r="B60" t="s">
        <v>8</v>
      </c>
      <c r="C60" s="3" t="s">
        <v>53</v>
      </c>
      <c r="D60" t="s">
        <v>10</v>
      </c>
      <c r="E60" s="7" t="s">
        <v>34</v>
      </c>
      <c r="F60" t="s">
        <v>49</v>
      </c>
      <c r="G60" t="s">
        <v>13</v>
      </c>
      <c r="H60">
        <v>2242.7199999999998</v>
      </c>
      <c r="I60">
        <v>2224.0700000000002</v>
      </c>
      <c r="J60" s="27">
        <f>H60/I60-1</f>
        <v>8.385527433938611E-3</v>
      </c>
    </row>
    <row r="61" spans="1:10" ht="14.45" customHeight="1" x14ac:dyDescent="0.25">
      <c r="A61">
        <v>7</v>
      </c>
      <c r="B61" t="s">
        <v>8</v>
      </c>
      <c r="C61" s="3" t="s">
        <v>53</v>
      </c>
      <c r="D61" t="s">
        <v>10</v>
      </c>
      <c r="E61" s="7" t="s">
        <v>35</v>
      </c>
      <c r="F61" t="s">
        <v>49</v>
      </c>
      <c r="G61" t="s">
        <v>13</v>
      </c>
      <c r="H61" t="s">
        <v>50</v>
      </c>
      <c r="I61" t="s">
        <v>50</v>
      </c>
      <c r="J61" s="27"/>
    </row>
    <row r="62" spans="1:10" ht="14.45" customHeight="1" x14ac:dyDescent="0.25">
      <c r="A62">
        <v>7</v>
      </c>
      <c r="B62" t="s">
        <v>8</v>
      </c>
      <c r="C62" s="3" t="s">
        <v>53</v>
      </c>
      <c r="D62" t="s">
        <v>10</v>
      </c>
      <c r="E62" s="7" t="s">
        <v>36</v>
      </c>
      <c r="F62" t="s">
        <v>49</v>
      </c>
      <c r="G62" t="s">
        <v>13</v>
      </c>
      <c r="H62">
        <v>88.35</v>
      </c>
      <c r="I62">
        <v>95.63</v>
      </c>
      <c r="J62" s="27">
        <f>H62/I62-1</f>
        <v>-7.6126738471191113E-2</v>
      </c>
    </row>
    <row r="63" spans="1:10" ht="14.45" customHeight="1" x14ac:dyDescent="0.25">
      <c r="A63">
        <v>7</v>
      </c>
      <c r="B63" t="s">
        <v>8</v>
      </c>
      <c r="C63" s="3" t="s">
        <v>53</v>
      </c>
      <c r="D63" t="s">
        <v>10</v>
      </c>
      <c r="E63" s="7" t="s">
        <v>28</v>
      </c>
      <c r="F63" t="s">
        <v>49</v>
      </c>
      <c r="G63" t="s">
        <v>13</v>
      </c>
      <c r="H63">
        <v>180.81</v>
      </c>
      <c r="I63">
        <v>135.91</v>
      </c>
      <c r="J63" s="27">
        <f>H63/I63-1</f>
        <v>0.33036568317268777</v>
      </c>
    </row>
    <row r="64" spans="1:10" ht="14.45" customHeight="1" x14ac:dyDescent="0.25">
      <c r="A64">
        <v>7</v>
      </c>
      <c r="B64" t="s">
        <v>8</v>
      </c>
      <c r="C64" s="3" t="s">
        <v>54</v>
      </c>
      <c r="D64" t="s">
        <v>10</v>
      </c>
      <c r="E64" s="2" t="s">
        <v>32</v>
      </c>
      <c r="F64" t="s">
        <v>49</v>
      </c>
      <c r="G64" t="s">
        <v>13</v>
      </c>
      <c r="H64">
        <v>71.77</v>
      </c>
      <c r="I64">
        <v>2.38</v>
      </c>
      <c r="J64" s="27">
        <f>H64/I64-1</f>
        <v>29.155462184873951</v>
      </c>
    </row>
    <row r="65" spans="1:10" ht="14.45" customHeight="1" x14ac:dyDescent="0.25">
      <c r="A65">
        <v>7</v>
      </c>
      <c r="B65" t="s">
        <v>8</v>
      </c>
      <c r="C65" s="3" t="s">
        <v>54</v>
      </c>
      <c r="D65" t="s">
        <v>10</v>
      </c>
      <c r="E65" s="7" t="s">
        <v>34</v>
      </c>
      <c r="F65" t="s">
        <v>49</v>
      </c>
      <c r="G65" t="s">
        <v>13</v>
      </c>
      <c r="H65" t="s">
        <v>50</v>
      </c>
      <c r="I65" t="s">
        <v>50</v>
      </c>
      <c r="J65" s="27"/>
    </row>
    <row r="66" spans="1:10" ht="14.45" customHeight="1" x14ac:dyDescent="0.25">
      <c r="A66">
        <v>7</v>
      </c>
      <c r="B66" t="s">
        <v>8</v>
      </c>
      <c r="C66" s="3" t="s">
        <v>54</v>
      </c>
      <c r="D66" t="s">
        <v>10</v>
      </c>
      <c r="E66" s="7" t="s">
        <v>35</v>
      </c>
      <c r="F66" t="s">
        <v>49</v>
      </c>
      <c r="G66" t="s">
        <v>13</v>
      </c>
      <c r="H66" t="s">
        <v>50</v>
      </c>
      <c r="I66" t="s">
        <v>50</v>
      </c>
      <c r="J66" s="27"/>
    </row>
    <row r="67" spans="1:10" ht="14.45" customHeight="1" x14ac:dyDescent="0.25">
      <c r="A67">
        <v>7</v>
      </c>
      <c r="B67" t="s">
        <v>8</v>
      </c>
      <c r="C67" s="3" t="s">
        <v>54</v>
      </c>
      <c r="D67" t="s">
        <v>10</v>
      </c>
      <c r="E67" s="7" t="s">
        <v>36</v>
      </c>
      <c r="F67" t="s">
        <v>49</v>
      </c>
      <c r="G67" t="s">
        <v>13</v>
      </c>
      <c r="H67" t="s">
        <v>50</v>
      </c>
      <c r="I67" t="s">
        <v>50</v>
      </c>
      <c r="J67" s="27"/>
    </row>
    <row r="68" spans="1:10" ht="14.45" customHeight="1" x14ac:dyDescent="0.25">
      <c r="A68">
        <v>7</v>
      </c>
      <c r="B68" t="s">
        <v>8</v>
      </c>
      <c r="C68" s="3" t="s">
        <v>54</v>
      </c>
      <c r="D68" t="s">
        <v>10</v>
      </c>
      <c r="E68" s="7" t="s">
        <v>28</v>
      </c>
      <c r="F68" t="s">
        <v>49</v>
      </c>
      <c r="G68" t="s">
        <v>13</v>
      </c>
      <c r="H68">
        <v>4.0599999999999996</v>
      </c>
      <c r="I68">
        <v>0</v>
      </c>
      <c r="J68" s="27"/>
    </row>
    <row r="69" spans="1:10" ht="14.45" customHeight="1" x14ac:dyDescent="0.25">
      <c r="A69">
        <v>7</v>
      </c>
      <c r="B69" t="s">
        <v>8</v>
      </c>
      <c r="C69" s="3" t="s">
        <v>55</v>
      </c>
      <c r="D69" t="s">
        <v>10</v>
      </c>
      <c r="E69" s="7" t="s">
        <v>32</v>
      </c>
      <c r="F69" t="s">
        <v>49</v>
      </c>
      <c r="G69" t="s">
        <v>13</v>
      </c>
      <c r="H69">
        <v>725</v>
      </c>
      <c r="I69">
        <v>576.16</v>
      </c>
      <c r="J69" s="27">
        <f>H69/I69-1</f>
        <v>0.25833101916134416</v>
      </c>
    </row>
    <row r="70" spans="1:10" ht="14.45" customHeight="1" x14ac:dyDescent="0.25">
      <c r="A70">
        <v>7</v>
      </c>
      <c r="B70" t="s">
        <v>8</v>
      </c>
      <c r="C70" s="3" t="s">
        <v>55</v>
      </c>
      <c r="D70" t="s">
        <v>10</v>
      </c>
      <c r="E70" s="7" t="s">
        <v>34</v>
      </c>
      <c r="F70" t="s">
        <v>49</v>
      </c>
      <c r="G70" t="s">
        <v>13</v>
      </c>
      <c r="H70">
        <v>785.98</v>
      </c>
      <c r="I70">
        <v>609.35</v>
      </c>
      <c r="J70" s="27">
        <f>H70/I70-1</f>
        <v>0.28986625092311469</v>
      </c>
    </row>
    <row r="71" spans="1:10" ht="14.45" customHeight="1" x14ac:dyDescent="0.25">
      <c r="A71">
        <v>7</v>
      </c>
      <c r="B71" t="s">
        <v>8</v>
      </c>
      <c r="C71" s="3" t="s">
        <v>55</v>
      </c>
      <c r="D71" t="s">
        <v>10</v>
      </c>
      <c r="E71" s="7" t="s">
        <v>35</v>
      </c>
      <c r="F71" t="s">
        <v>49</v>
      </c>
      <c r="G71" t="s">
        <v>13</v>
      </c>
      <c r="H71" t="s">
        <v>50</v>
      </c>
      <c r="I71" t="s">
        <v>50</v>
      </c>
      <c r="J71" s="27"/>
    </row>
    <row r="72" spans="1:10" ht="14.45" customHeight="1" x14ac:dyDescent="0.25">
      <c r="A72">
        <v>7</v>
      </c>
      <c r="B72" t="s">
        <v>8</v>
      </c>
      <c r="C72" s="3" t="s">
        <v>55</v>
      </c>
      <c r="D72" t="s">
        <v>10</v>
      </c>
      <c r="E72" s="7" t="s">
        <v>36</v>
      </c>
      <c r="F72" t="s">
        <v>49</v>
      </c>
      <c r="G72" t="s">
        <v>13</v>
      </c>
      <c r="H72">
        <v>1.46</v>
      </c>
      <c r="I72">
        <v>1.94</v>
      </c>
      <c r="J72" s="27">
        <f>H72/I72-1</f>
        <v>-0.24742268041237114</v>
      </c>
    </row>
    <row r="73" spans="1:10" ht="14.45" customHeight="1" x14ac:dyDescent="0.25">
      <c r="A73">
        <v>7</v>
      </c>
      <c r="B73" t="s">
        <v>8</v>
      </c>
      <c r="C73" s="3" t="s">
        <v>55</v>
      </c>
      <c r="D73" t="s">
        <v>10</v>
      </c>
      <c r="E73" s="7" t="s">
        <v>28</v>
      </c>
      <c r="F73" t="s">
        <v>49</v>
      </c>
      <c r="G73" t="s">
        <v>13</v>
      </c>
      <c r="H73">
        <v>32.97</v>
      </c>
      <c r="I73">
        <v>22.23</v>
      </c>
      <c r="J73" s="27">
        <f>H73/I73-1</f>
        <v>0.48313090418353566</v>
      </c>
    </row>
    <row r="74" spans="1:10" ht="14.45" customHeight="1" x14ac:dyDescent="0.25">
      <c r="A74">
        <v>7</v>
      </c>
      <c r="B74" t="s">
        <v>8</v>
      </c>
      <c r="C74" s="3" t="s">
        <v>56</v>
      </c>
      <c r="D74" t="s">
        <v>10</v>
      </c>
      <c r="E74" s="7" t="s">
        <v>32</v>
      </c>
      <c r="F74" t="s">
        <v>49</v>
      </c>
      <c r="G74" t="s">
        <v>13</v>
      </c>
      <c r="H74">
        <v>3.98</v>
      </c>
      <c r="I74" t="s">
        <v>50</v>
      </c>
      <c r="J74" s="27">
        <f>IFERROR(H74/I74-1,0)</f>
        <v>0</v>
      </c>
    </row>
    <row r="75" spans="1:10" ht="14.45" customHeight="1" x14ac:dyDescent="0.25">
      <c r="A75">
        <v>7</v>
      </c>
      <c r="B75" t="s">
        <v>8</v>
      </c>
      <c r="C75" s="3" t="s">
        <v>56</v>
      </c>
      <c r="D75" t="s">
        <v>10</v>
      </c>
      <c r="E75" s="7" t="s">
        <v>34</v>
      </c>
      <c r="F75" t="s">
        <v>49</v>
      </c>
      <c r="G75" t="s">
        <v>13</v>
      </c>
      <c r="H75">
        <v>19.97</v>
      </c>
      <c r="I75" t="s">
        <v>50</v>
      </c>
      <c r="J75" s="27"/>
    </row>
    <row r="76" spans="1:10" ht="14.45" customHeight="1" x14ac:dyDescent="0.25">
      <c r="A76">
        <v>7</v>
      </c>
      <c r="B76" t="s">
        <v>8</v>
      </c>
      <c r="C76" s="3" t="s">
        <v>56</v>
      </c>
      <c r="D76" t="s">
        <v>10</v>
      </c>
      <c r="E76" s="7" t="s">
        <v>35</v>
      </c>
      <c r="F76" t="s">
        <v>49</v>
      </c>
      <c r="G76" t="s">
        <v>13</v>
      </c>
      <c r="H76" t="s">
        <v>50</v>
      </c>
      <c r="I76" t="s">
        <v>50</v>
      </c>
      <c r="J76" s="27"/>
    </row>
    <row r="77" spans="1:10" ht="14.45" customHeight="1" x14ac:dyDescent="0.25">
      <c r="A77">
        <v>7</v>
      </c>
      <c r="B77" t="s">
        <v>8</v>
      </c>
      <c r="C77" s="3" t="s">
        <v>56</v>
      </c>
      <c r="D77" t="s">
        <v>10</v>
      </c>
      <c r="E77" s="7" t="s">
        <v>36</v>
      </c>
      <c r="F77" t="s">
        <v>49</v>
      </c>
      <c r="G77" t="s">
        <v>13</v>
      </c>
      <c r="H77" t="s">
        <v>50</v>
      </c>
      <c r="I77" t="s">
        <v>50</v>
      </c>
      <c r="J77" s="27"/>
    </row>
    <row r="78" spans="1:10" ht="14.45" customHeight="1" x14ac:dyDescent="0.25">
      <c r="A78">
        <v>7</v>
      </c>
      <c r="B78" t="s">
        <v>8</v>
      </c>
      <c r="C78" s="3" t="s">
        <v>56</v>
      </c>
      <c r="D78" t="s">
        <v>10</v>
      </c>
      <c r="E78" s="7" t="s">
        <v>28</v>
      </c>
      <c r="F78" t="s">
        <v>49</v>
      </c>
      <c r="G78" t="s">
        <v>13</v>
      </c>
      <c r="H78">
        <v>0</v>
      </c>
      <c r="I78">
        <v>0</v>
      </c>
      <c r="J78" s="27"/>
    </row>
    <row r="79" spans="1:10" ht="14.45" customHeight="1" x14ac:dyDescent="0.25">
      <c r="A79">
        <v>7</v>
      </c>
      <c r="B79" t="s">
        <v>8</v>
      </c>
      <c r="C79" s="3" t="s">
        <v>57</v>
      </c>
      <c r="D79" t="s">
        <v>10</v>
      </c>
      <c r="E79" s="7" t="s">
        <v>32</v>
      </c>
      <c r="F79" t="s">
        <v>49</v>
      </c>
      <c r="G79" t="s">
        <v>13</v>
      </c>
      <c r="H79">
        <v>11974.9</v>
      </c>
      <c r="I79">
        <v>10564.2</v>
      </c>
      <c r="J79" s="27">
        <f>H79/I79-1</f>
        <v>0.13353590428049444</v>
      </c>
    </row>
    <row r="80" spans="1:10" ht="14.45" customHeight="1" x14ac:dyDescent="0.25">
      <c r="A80">
        <v>7</v>
      </c>
      <c r="B80" t="s">
        <v>8</v>
      </c>
      <c r="C80" s="3" t="s">
        <v>57</v>
      </c>
      <c r="D80" t="s">
        <v>10</v>
      </c>
      <c r="E80" s="7" t="s">
        <v>34</v>
      </c>
      <c r="F80" t="s">
        <v>49</v>
      </c>
      <c r="G80" t="s">
        <v>13</v>
      </c>
      <c r="H80">
        <v>536.21</v>
      </c>
      <c r="I80">
        <v>894.29</v>
      </c>
      <c r="J80" s="27">
        <f>H80/I80-1</f>
        <v>-0.40040702680338591</v>
      </c>
    </row>
    <row r="81" spans="1:10" ht="14.45" customHeight="1" x14ac:dyDescent="0.25">
      <c r="A81">
        <v>7</v>
      </c>
      <c r="B81" t="s">
        <v>8</v>
      </c>
      <c r="C81" s="3" t="s">
        <v>57</v>
      </c>
      <c r="D81" t="s">
        <v>10</v>
      </c>
      <c r="E81" s="7" t="s">
        <v>35</v>
      </c>
      <c r="F81" t="s">
        <v>49</v>
      </c>
      <c r="G81" t="s">
        <v>13</v>
      </c>
      <c r="H81" t="s">
        <v>50</v>
      </c>
      <c r="I81" t="s">
        <v>50</v>
      </c>
      <c r="J81" s="27"/>
    </row>
    <row r="82" spans="1:10" ht="14.45" customHeight="1" x14ac:dyDescent="0.25">
      <c r="A82">
        <v>7</v>
      </c>
      <c r="B82" t="s">
        <v>8</v>
      </c>
      <c r="C82" s="3" t="s">
        <v>57</v>
      </c>
      <c r="D82" t="s">
        <v>10</v>
      </c>
      <c r="E82" s="7" t="s">
        <v>36</v>
      </c>
      <c r="F82" t="s">
        <v>49</v>
      </c>
      <c r="G82" t="s">
        <v>13</v>
      </c>
      <c r="H82">
        <v>7.05</v>
      </c>
      <c r="I82">
        <v>7.66</v>
      </c>
      <c r="J82" s="27">
        <f>H82/I82-1</f>
        <v>-7.9634464751958234E-2</v>
      </c>
    </row>
    <row r="83" spans="1:10" ht="14.45" customHeight="1" x14ac:dyDescent="0.25">
      <c r="A83">
        <v>7</v>
      </c>
      <c r="B83" t="s">
        <v>8</v>
      </c>
      <c r="C83" s="3" t="s">
        <v>57</v>
      </c>
      <c r="D83" t="s">
        <v>10</v>
      </c>
      <c r="E83" s="7" t="s">
        <v>28</v>
      </c>
      <c r="F83" t="s">
        <v>49</v>
      </c>
      <c r="G83" t="s">
        <v>13</v>
      </c>
      <c r="H83">
        <v>120.24</v>
      </c>
      <c r="I83">
        <v>136.87</v>
      </c>
      <c r="J83" s="27">
        <f>H83/I83-1</f>
        <v>-0.12150215532987518</v>
      </c>
    </row>
    <row r="84" spans="1:10" x14ac:dyDescent="0.2">
      <c r="A84">
        <v>8</v>
      </c>
      <c r="B84" s="7" t="s">
        <v>58</v>
      </c>
      <c r="C84" s="4" t="s">
        <v>59</v>
      </c>
      <c r="D84" s="7" t="s">
        <v>60</v>
      </c>
      <c r="F84" t="s">
        <v>61</v>
      </c>
      <c r="G84" t="s">
        <v>13</v>
      </c>
      <c r="H84" s="28">
        <v>0.1564250772501323</v>
      </c>
      <c r="I84">
        <v>0</v>
      </c>
    </row>
    <row r="85" spans="1:10" ht="14.45" customHeight="1" x14ac:dyDescent="0.25">
      <c r="A85">
        <v>8</v>
      </c>
      <c r="B85" s="7" t="s">
        <v>58</v>
      </c>
      <c r="C85" s="5" t="s">
        <v>62</v>
      </c>
      <c r="D85" s="7" t="s">
        <v>60</v>
      </c>
      <c r="F85" t="s">
        <v>61</v>
      </c>
      <c r="G85" t="s">
        <v>13</v>
      </c>
      <c r="H85" s="28">
        <v>0.17118510258146591</v>
      </c>
      <c r="I85">
        <v>0</v>
      </c>
    </row>
    <row r="86" spans="1:10" x14ac:dyDescent="0.2">
      <c r="A86">
        <v>8</v>
      </c>
      <c r="B86" s="7" t="s">
        <v>58</v>
      </c>
      <c r="C86" s="1" t="s">
        <v>51</v>
      </c>
      <c r="D86" s="7" t="s">
        <v>63</v>
      </c>
      <c r="E86" t="s">
        <v>64</v>
      </c>
      <c r="F86" t="s">
        <v>65</v>
      </c>
      <c r="G86" t="s">
        <v>66</v>
      </c>
      <c r="H86" s="24">
        <v>5706.25</v>
      </c>
      <c r="I86" s="24">
        <v>4683.58</v>
      </c>
      <c r="J86" s="27">
        <f t="shared" ref="J86:J92" si="2">H86/I86-1</f>
        <v>0.21835220066701111</v>
      </c>
    </row>
    <row r="87" spans="1:10" x14ac:dyDescent="0.2">
      <c r="A87">
        <v>8</v>
      </c>
      <c r="B87" s="7" t="s">
        <v>58</v>
      </c>
      <c r="C87" s="4" t="s">
        <v>40</v>
      </c>
      <c r="D87" s="7" t="s">
        <v>63</v>
      </c>
      <c r="F87" t="s">
        <v>67</v>
      </c>
      <c r="G87" t="s">
        <v>68</v>
      </c>
      <c r="H87" s="24">
        <v>4418.17</v>
      </c>
      <c r="I87" s="24">
        <v>3218.57</v>
      </c>
      <c r="J87" s="27">
        <f t="shared" si="2"/>
        <v>0.37271210506529284</v>
      </c>
    </row>
    <row r="88" spans="1:10" x14ac:dyDescent="0.2">
      <c r="A88">
        <v>8</v>
      </c>
      <c r="B88" s="7" t="s">
        <v>58</v>
      </c>
      <c r="C88" s="4" t="s">
        <v>41</v>
      </c>
      <c r="D88" s="7" t="s">
        <v>63</v>
      </c>
      <c r="F88" t="s">
        <v>69</v>
      </c>
      <c r="G88" t="s">
        <v>70</v>
      </c>
      <c r="H88" s="24">
        <v>6848.28</v>
      </c>
      <c r="I88" s="24">
        <v>5996.68</v>
      </c>
      <c r="J88" s="27">
        <f t="shared" si="2"/>
        <v>0.14201191325866969</v>
      </c>
    </row>
    <row r="89" spans="1:10" x14ac:dyDescent="0.2">
      <c r="A89">
        <v>8</v>
      </c>
      <c r="B89" s="7" t="s">
        <v>58</v>
      </c>
      <c r="C89" s="4" t="s">
        <v>42</v>
      </c>
      <c r="D89" s="7" t="s">
        <v>63</v>
      </c>
      <c r="F89" t="s">
        <v>71</v>
      </c>
      <c r="G89" t="s">
        <v>72</v>
      </c>
      <c r="H89" s="24">
        <v>75.897899999999993</v>
      </c>
      <c r="I89" s="24">
        <v>2.3780000000000001</v>
      </c>
      <c r="J89" s="27">
        <f t="shared" si="2"/>
        <v>30.916694701429769</v>
      </c>
    </row>
    <row r="90" spans="1:10" x14ac:dyDescent="0.2">
      <c r="A90">
        <v>8</v>
      </c>
      <c r="B90" s="7" t="s">
        <v>58</v>
      </c>
      <c r="C90" s="4" t="s">
        <v>43</v>
      </c>
      <c r="D90" s="7" t="s">
        <v>63</v>
      </c>
      <c r="F90" t="s">
        <v>73</v>
      </c>
      <c r="G90" t="s">
        <v>74</v>
      </c>
      <c r="H90" s="24">
        <v>1545.42</v>
      </c>
      <c r="I90" s="24">
        <v>1209.68</v>
      </c>
      <c r="J90" s="27">
        <f t="shared" si="2"/>
        <v>0.27754447457178766</v>
      </c>
    </row>
    <row r="91" spans="1:10" x14ac:dyDescent="0.2">
      <c r="A91">
        <v>8</v>
      </c>
      <c r="B91" s="7" t="s">
        <v>58</v>
      </c>
      <c r="C91" s="4" t="s">
        <v>75</v>
      </c>
      <c r="D91" s="7" t="s">
        <v>63</v>
      </c>
      <c r="F91" t="s">
        <v>76</v>
      </c>
      <c r="G91" t="s">
        <v>77</v>
      </c>
      <c r="H91" s="24">
        <v>23.9498</v>
      </c>
      <c r="I91" s="24">
        <v>5.8</v>
      </c>
      <c r="J91" s="27">
        <f t="shared" si="2"/>
        <v>3.1292758620689654</v>
      </c>
    </row>
    <row r="92" spans="1:10" x14ac:dyDescent="0.2">
      <c r="A92">
        <v>8</v>
      </c>
      <c r="B92" s="7" t="s">
        <v>58</v>
      </c>
      <c r="C92" s="4" t="s">
        <v>45</v>
      </c>
      <c r="D92" s="7" t="s">
        <v>63</v>
      </c>
      <c r="F92" t="s">
        <v>78</v>
      </c>
      <c r="G92" t="s">
        <v>79</v>
      </c>
      <c r="H92" s="24">
        <v>12638.21</v>
      </c>
      <c r="I92" s="24">
        <v>11603.13</v>
      </c>
      <c r="J92" s="27">
        <f t="shared" si="2"/>
        <v>8.9206963982994214E-2</v>
      </c>
    </row>
    <row r="93" spans="1:10" x14ac:dyDescent="0.2">
      <c r="A93">
        <v>9</v>
      </c>
      <c r="B93" t="s">
        <v>80</v>
      </c>
      <c r="C93" s="1" t="s">
        <v>51</v>
      </c>
      <c r="D93" t="s">
        <v>81</v>
      </c>
      <c r="E93" s="29" t="s">
        <v>82</v>
      </c>
      <c r="F93" t="s">
        <v>39</v>
      </c>
      <c r="G93" t="s">
        <v>66</v>
      </c>
      <c r="H93" s="19">
        <v>0.2924863636031676</v>
      </c>
      <c r="I93" s="19">
        <v>0.36804551233033139</v>
      </c>
    </row>
    <row r="94" spans="1:10" x14ac:dyDescent="0.2">
      <c r="A94">
        <v>9</v>
      </c>
      <c r="B94" t="s">
        <v>80</v>
      </c>
      <c r="C94" s="4" t="s">
        <v>40</v>
      </c>
      <c r="D94" t="s">
        <v>81</v>
      </c>
      <c r="E94" s="29" t="s">
        <v>82</v>
      </c>
      <c r="F94" t="s">
        <v>39</v>
      </c>
      <c r="G94" t="s">
        <v>68</v>
      </c>
      <c r="H94" s="19">
        <v>0.36632105354669481</v>
      </c>
      <c r="I94" s="19">
        <v>0.53240802946649102</v>
      </c>
    </row>
    <row r="95" spans="1:10" x14ac:dyDescent="0.2">
      <c r="A95">
        <v>9</v>
      </c>
      <c r="B95" t="s">
        <v>80</v>
      </c>
      <c r="C95" s="4" t="s">
        <v>41</v>
      </c>
      <c r="D95" t="s">
        <v>81</v>
      </c>
      <c r="E95" s="29" t="s">
        <v>82</v>
      </c>
      <c r="F95" t="s">
        <v>39</v>
      </c>
      <c r="G95" t="s">
        <v>70</v>
      </c>
      <c r="H95" s="19">
        <v>0.2086184495499748</v>
      </c>
      <c r="I95" s="19">
        <v>0.33650595084062412</v>
      </c>
    </row>
    <row r="96" spans="1:10" x14ac:dyDescent="0.2">
      <c r="A96">
        <v>9</v>
      </c>
      <c r="B96" t="s">
        <v>80</v>
      </c>
      <c r="C96" s="4" t="s">
        <v>42</v>
      </c>
      <c r="D96" t="s">
        <v>81</v>
      </c>
      <c r="E96" s="29" t="s">
        <v>82</v>
      </c>
      <c r="F96" t="s">
        <v>39</v>
      </c>
      <c r="G96" t="s">
        <v>72</v>
      </c>
      <c r="H96" s="19">
        <v>0.2086184495499748</v>
      </c>
      <c r="I96" s="19">
        <v>0.33650595084062412</v>
      </c>
    </row>
    <row r="97" spans="1:9" x14ac:dyDescent="0.2">
      <c r="A97">
        <v>9</v>
      </c>
      <c r="B97" t="s">
        <v>80</v>
      </c>
      <c r="C97" s="4" t="s">
        <v>43</v>
      </c>
      <c r="D97" t="s">
        <v>81</v>
      </c>
      <c r="E97" s="29" t="s">
        <v>82</v>
      </c>
      <c r="F97" t="s">
        <v>39</v>
      </c>
      <c r="G97" t="s">
        <v>74</v>
      </c>
      <c r="H97" s="19">
        <v>0.1800049271932285</v>
      </c>
      <c r="I97" s="19">
        <v>0.26544944120304481</v>
      </c>
    </row>
    <row r="98" spans="1:9" x14ac:dyDescent="0.2">
      <c r="A98">
        <v>9</v>
      </c>
      <c r="B98" t="s">
        <v>80</v>
      </c>
      <c r="C98" s="4" t="s">
        <v>75</v>
      </c>
      <c r="D98" t="s">
        <v>81</v>
      </c>
      <c r="E98" s="29" t="s">
        <v>82</v>
      </c>
      <c r="F98" t="s">
        <v>39</v>
      </c>
      <c r="G98" t="s">
        <v>77</v>
      </c>
      <c r="H98" s="19">
        <v>0</v>
      </c>
      <c r="I98" s="19">
        <v>0</v>
      </c>
    </row>
    <row r="99" spans="1:9" x14ac:dyDescent="0.2">
      <c r="A99">
        <v>9</v>
      </c>
      <c r="B99" t="s">
        <v>80</v>
      </c>
      <c r="C99" s="4" t="s">
        <v>45</v>
      </c>
      <c r="D99" t="s">
        <v>81</v>
      </c>
      <c r="E99" s="29" t="s">
        <v>82</v>
      </c>
      <c r="F99" t="s">
        <v>39</v>
      </c>
      <c r="G99" t="s">
        <v>79</v>
      </c>
      <c r="H99" s="19">
        <v>0.12877078536362241</v>
      </c>
      <c r="I99" s="19">
        <v>0.21976559139514079</v>
      </c>
    </row>
    <row r="100" spans="1:9" x14ac:dyDescent="0.2">
      <c r="A100">
        <v>9</v>
      </c>
      <c r="B100" t="s">
        <v>80</v>
      </c>
      <c r="C100" t="s">
        <v>15</v>
      </c>
      <c r="D100" t="s">
        <v>83</v>
      </c>
      <c r="E100" s="29" t="s">
        <v>82</v>
      </c>
      <c r="F100" t="s">
        <v>39</v>
      </c>
      <c r="G100" t="s">
        <v>13</v>
      </c>
      <c r="H100" s="19">
        <v>0.19166893142957761</v>
      </c>
      <c r="I100" s="19">
        <v>0.28629344757557162</v>
      </c>
    </row>
    <row r="101" spans="1:9" x14ac:dyDescent="0.2">
      <c r="A101">
        <v>9</v>
      </c>
      <c r="B101" t="s">
        <v>80</v>
      </c>
      <c r="C101" s="1" t="s">
        <v>51</v>
      </c>
      <c r="D101" t="s">
        <v>84</v>
      </c>
      <c r="E101" t="s">
        <v>83</v>
      </c>
      <c r="F101" t="s">
        <v>85</v>
      </c>
      <c r="G101" t="s">
        <v>66</v>
      </c>
      <c r="H101" s="20">
        <f t="shared" ref="H101:H107" si="3">(H86/I86)-1</f>
        <v>0.21835220066701111</v>
      </c>
      <c r="I101" s="20">
        <v>0.21290680473372789</v>
      </c>
    </row>
    <row r="102" spans="1:9" x14ac:dyDescent="0.2">
      <c r="A102">
        <v>9</v>
      </c>
      <c r="B102" t="s">
        <v>80</v>
      </c>
      <c r="C102" s="4" t="s">
        <v>40</v>
      </c>
      <c r="D102" t="s">
        <v>84</v>
      </c>
      <c r="E102" t="s">
        <v>83</v>
      </c>
      <c r="F102" t="s">
        <v>85</v>
      </c>
      <c r="G102" t="s">
        <v>68</v>
      </c>
      <c r="H102" s="20">
        <f t="shared" si="3"/>
        <v>0.37271210506529284</v>
      </c>
      <c r="I102" s="20">
        <v>0.29658420210100611</v>
      </c>
    </row>
    <row r="103" spans="1:9" x14ac:dyDescent="0.2">
      <c r="A103">
        <v>9</v>
      </c>
      <c r="B103" t="s">
        <v>80</v>
      </c>
      <c r="C103" s="4" t="s">
        <v>41</v>
      </c>
      <c r="D103" t="s">
        <v>84</v>
      </c>
      <c r="E103" t="s">
        <v>83</v>
      </c>
      <c r="F103" t="s">
        <v>85</v>
      </c>
      <c r="G103" t="s">
        <v>70</v>
      </c>
      <c r="H103" s="20">
        <f t="shared" si="3"/>
        <v>0.14201191325866969</v>
      </c>
      <c r="I103" s="20">
        <v>0.25660058576580541</v>
      </c>
    </row>
    <row r="104" spans="1:9" x14ac:dyDescent="0.2">
      <c r="A104">
        <v>9</v>
      </c>
      <c r="B104" t="s">
        <v>80</v>
      </c>
      <c r="C104" s="4" t="s">
        <v>42</v>
      </c>
      <c r="D104" t="s">
        <v>84</v>
      </c>
      <c r="E104" t="s">
        <v>83</v>
      </c>
      <c r="F104" t="s">
        <v>85</v>
      </c>
      <c r="G104" t="s">
        <v>72</v>
      </c>
      <c r="H104" s="20">
        <f t="shared" si="3"/>
        <v>30.916694701429769</v>
      </c>
      <c r="I104" s="20">
        <v>0</v>
      </c>
    </row>
    <row r="105" spans="1:9" x14ac:dyDescent="0.2">
      <c r="A105">
        <v>9</v>
      </c>
      <c r="B105" t="s">
        <v>80</v>
      </c>
      <c r="C105" s="4" t="s">
        <v>43</v>
      </c>
      <c r="D105" t="s">
        <v>84</v>
      </c>
      <c r="E105" t="s">
        <v>83</v>
      </c>
      <c r="F105" t="s">
        <v>85</v>
      </c>
      <c r="G105" t="s">
        <v>74</v>
      </c>
      <c r="H105" s="20">
        <f t="shared" si="3"/>
        <v>0.27754447457178766</v>
      </c>
      <c r="I105" s="20">
        <v>6.3023141309699771E-2</v>
      </c>
    </row>
    <row r="106" spans="1:9" x14ac:dyDescent="0.2">
      <c r="A106">
        <v>9</v>
      </c>
      <c r="B106" t="s">
        <v>80</v>
      </c>
      <c r="C106" s="4" t="s">
        <v>75</v>
      </c>
      <c r="D106" t="s">
        <v>84</v>
      </c>
      <c r="E106" t="s">
        <v>83</v>
      </c>
      <c r="F106" t="s">
        <v>85</v>
      </c>
      <c r="G106" t="s">
        <v>77</v>
      </c>
      <c r="H106" s="20">
        <f t="shared" si="3"/>
        <v>3.1292758620689654</v>
      </c>
      <c r="I106" s="20">
        <v>0</v>
      </c>
    </row>
    <row r="107" spans="1:9" x14ac:dyDescent="0.2">
      <c r="A107">
        <v>9</v>
      </c>
      <c r="B107" t="s">
        <v>80</v>
      </c>
      <c r="C107" s="4" t="s">
        <v>45</v>
      </c>
      <c r="D107" t="s">
        <v>84</v>
      </c>
      <c r="E107" t="s">
        <v>83</v>
      </c>
      <c r="F107" t="s">
        <v>85</v>
      </c>
      <c r="G107" t="s">
        <v>79</v>
      </c>
      <c r="H107" s="20">
        <f t="shared" si="3"/>
        <v>8.9206963982994214E-2</v>
      </c>
      <c r="I107" s="20">
        <v>0.13094218151523959</v>
      </c>
    </row>
    <row r="108" spans="1:9" x14ac:dyDescent="0.2">
      <c r="A108">
        <v>9</v>
      </c>
      <c r="B108" t="s">
        <v>80</v>
      </c>
      <c r="C108" t="s">
        <v>15</v>
      </c>
      <c r="D108" t="s">
        <v>84</v>
      </c>
      <c r="E108" t="s">
        <v>83</v>
      </c>
      <c r="F108" t="s">
        <v>85</v>
      </c>
      <c r="G108" t="s">
        <v>13</v>
      </c>
      <c r="H108" s="20">
        <f>((SUM(H86:H92)/SUM((I86:I92))-1))</f>
        <v>0.16977509727049789</v>
      </c>
      <c r="I108" s="20">
        <v>0.18544126960134649</v>
      </c>
    </row>
    <row r="109" spans="1:9" x14ac:dyDescent="0.2">
      <c r="A109" s="6">
        <v>10</v>
      </c>
      <c r="B109" s="6" t="s">
        <v>86</v>
      </c>
      <c r="C109" s="6" t="s">
        <v>87</v>
      </c>
      <c r="D109" s="6" t="s">
        <v>15</v>
      </c>
      <c r="E109" s="6" t="s">
        <v>88</v>
      </c>
      <c r="F109" t="s">
        <v>49</v>
      </c>
      <c r="G109" t="s">
        <v>13</v>
      </c>
      <c r="H109" s="20">
        <f t="shared" ref="H109:I113" si="4">H164</f>
        <v>0.71420448461738828</v>
      </c>
      <c r="I109" s="20">
        <f t="shared" si="4"/>
        <v>0.70425630496470359</v>
      </c>
    </row>
    <row r="110" spans="1:9" x14ac:dyDescent="0.2">
      <c r="A110" s="6">
        <v>10</v>
      </c>
      <c r="B110" s="6" t="s">
        <v>86</v>
      </c>
      <c r="C110" s="6" t="s">
        <v>87</v>
      </c>
      <c r="D110" s="6" t="s">
        <v>15</v>
      </c>
      <c r="E110" s="6" t="s">
        <v>89</v>
      </c>
      <c r="F110" t="s">
        <v>49</v>
      </c>
      <c r="G110" t="s">
        <v>13</v>
      </c>
      <c r="H110" s="20">
        <f t="shared" si="4"/>
        <v>0.25844769144962992</v>
      </c>
      <c r="I110" s="20">
        <f t="shared" si="4"/>
        <v>0.26418949213717968</v>
      </c>
    </row>
    <row r="111" spans="1:9" x14ac:dyDescent="0.2">
      <c r="A111" s="6">
        <v>10</v>
      </c>
      <c r="B111" s="6" t="s">
        <v>86</v>
      </c>
      <c r="C111" s="6" t="s">
        <v>87</v>
      </c>
      <c r="D111" s="6" t="s">
        <v>15</v>
      </c>
      <c r="E111" s="6" t="s">
        <v>90</v>
      </c>
      <c r="F111" t="s">
        <v>49</v>
      </c>
      <c r="G111" t="s">
        <v>13</v>
      </c>
      <c r="H111" s="20">
        <f t="shared" si="4"/>
        <v>0</v>
      </c>
      <c r="I111" s="20">
        <f t="shared" si="4"/>
        <v>0</v>
      </c>
    </row>
    <row r="112" spans="1:9" x14ac:dyDescent="0.2">
      <c r="A112" s="6">
        <v>10</v>
      </c>
      <c r="B112" s="6" t="s">
        <v>86</v>
      </c>
      <c r="C112" s="6" t="s">
        <v>87</v>
      </c>
      <c r="D112" s="6" t="s">
        <v>15</v>
      </c>
      <c r="E112" s="6" t="s">
        <v>91</v>
      </c>
      <c r="F112" t="s">
        <v>49</v>
      </c>
      <c r="G112" t="s">
        <v>13</v>
      </c>
      <c r="H112" s="20">
        <f t="shared" si="4"/>
        <v>4.2599230669656193E-3</v>
      </c>
      <c r="I112" s="20">
        <f t="shared" si="4"/>
        <v>6.0457899160984794E-3</v>
      </c>
    </row>
    <row r="113" spans="1:9" x14ac:dyDescent="0.2">
      <c r="A113" s="6">
        <v>10</v>
      </c>
      <c r="B113" s="6" t="s">
        <v>86</v>
      </c>
      <c r="C113" s="6" t="s">
        <v>87</v>
      </c>
      <c r="D113" s="6" t="s">
        <v>15</v>
      </c>
      <c r="E113" s="6" t="s">
        <v>92</v>
      </c>
      <c r="F113" t="s">
        <v>12</v>
      </c>
      <c r="G113" t="s">
        <v>13</v>
      </c>
      <c r="H113" s="20">
        <f t="shared" si="4"/>
        <v>2.3086622377700601E-2</v>
      </c>
      <c r="I113" s="20">
        <f t="shared" si="4"/>
        <v>2.5503921866567469E-2</v>
      </c>
    </row>
    <row r="114" spans="1:9" x14ac:dyDescent="0.2">
      <c r="A114" s="6">
        <v>10</v>
      </c>
      <c r="B114" s="6" t="s">
        <v>86</v>
      </c>
      <c r="C114" s="6" t="s">
        <v>87</v>
      </c>
      <c r="D114" s="6" t="s">
        <v>93</v>
      </c>
      <c r="E114" s="6" t="s">
        <v>88</v>
      </c>
      <c r="F114" t="s">
        <v>49</v>
      </c>
      <c r="G114" t="s">
        <v>13</v>
      </c>
      <c r="H114" s="21">
        <v>0.48527297351685922</v>
      </c>
      <c r="I114" s="19">
        <v>0.24529198940557209</v>
      </c>
    </row>
    <row r="115" spans="1:9" x14ac:dyDescent="0.2">
      <c r="A115" s="6">
        <v>10</v>
      </c>
      <c r="B115" s="6" t="s">
        <v>86</v>
      </c>
      <c r="C115" s="6" t="s">
        <v>87</v>
      </c>
      <c r="D115" s="6" t="s">
        <v>93</v>
      </c>
      <c r="E115" s="6" t="s">
        <v>89</v>
      </c>
      <c r="F115" t="s">
        <v>49</v>
      </c>
      <c r="G115" t="s">
        <v>13</v>
      </c>
      <c r="H115" s="21">
        <v>0.16862531142569101</v>
      </c>
      <c r="I115" s="19">
        <v>0.54696408320382084</v>
      </c>
    </row>
    <row r="116" spans="1:9" x14ac:dyDescent="0.2">
      <c r="A116" s="6">
        <v>10</v>
      </c>
      <c r="B116" s="6" t="s">
        <v>86</v>
      </c>
      <c r="C116" s="6" t="s">
        <v>87</v>
      </c>
      <c r="D116" s="6" t="s">
        <v>93</v>
      </c>
      <c r="E116" s="6" t="s">
        <v>90</v>
      </c>
      <c r="F116" t="s">
        <v>49</v>
      </c>
      <c r="G116" t="s">
        <v>13</v>
      </c>
      <c r="H116" s="21">
        <v>3.0962549061678349E-2</v>
      </c>
      <c r="I116" s="19">
        <v>8.2816383707813523E-2</v>
      </c>
    </row>
    <row r="117" spans="1:9" x14ac:dyDescent="0.2">
      <c r="A117" s="6">
        <v>10</v>
      </c>
      <c r="B117" s="6" t="s">
        <v>86</v>
      </c>
      <c r="C117" s="6" t="s">
        <v>87</v>
      </c>
      <c r="D117" s="6" t="s">
        <v>93</v>
      </c>
      <c r="E117" s="6" t="s">
        <v>91</v>
      </c>
      <c r="F117" t="s">
        <v>49</v>
      </c>
      <c r="G117" t="s">
        <v>13</v>
      </c>
      <c r="H117" s="21">
        <v>0.1407749967124006</v>
      </c>
      <c r="I117" s="19">
        <v>2.6102337615058771E-2</v>
      </c>
    </row>
    <row r="118" spans="1:9" x14ac:dyDescent="0.2">
      <c r="A118" s="6">
        <v>10</v>
      </c>
      <c r="B118" s="6" t="s">
        <v>86</v>
      </c>
      <c r="C118" s="6" t="s">
        <v>87</v>
      </c>
      <c r="D118" s="6" t="s">
        <v>93</v>
      </c>
      <c r="E118" s="6" t="s">
        <v>92</v>
      </c>
      <c r="F118" t="s">
        <v>49</v>
      </c>
      <c r="G118" t="s">
        <v>13</v>
      </c>
      <c r="H118" s="21">
        <v>9.5224003331176865E-2</v>
      </c>
      <c r="I118" s="19">
        <v>9.8825206067734567E-2</v>
      </c>
    </row>
    <row r="119" spans="1:9" x14ac:dyDescent="0.2">
      <c r="A119" s="6">
        <v>10</v>
      </c>
      <c r="B119" s="6" t="s">
        <v>86</v>
      </c>
      <c r="C119" s="6" t="s">
        <v>87</v>
      </c>
      <c r="D119" s="6" t="s">
        <v>47</v>
      </c>
      <c r="E119" s="6" t="s">
        <v>88</v>
      </c>
      <c r="F119" t="s">
        <v>49</v>
      </c>
      <c r="G119" t="s">
        <v>13</v>
      </c>
      <c r="H119" s="21">
        <v>8.203454644037933E-2</v>
      </c>
      <c r="I119" s="21">
        <v>0.20684735810118721</v>
      </c>
    </row>
    <row r="120" spans="1:9" x14ac:dyDescent="0.2">
      <c r="A120" s="6">
        <v>10</v>
      </c>
      <c r="B120" s="6" t="s">
        <v>86</v>
      </c>
      <c r="C120" s="6" t="s">
        <v>87</v>
      </c>
      <c r="D120" s="6" t="s">
        <v>47</v>
      </c>
      <c r="E120" s="6" t="s">
        <v>89</v>
      </c>
      <c r="F120" t="s">
        <v>49</v>
      </c>
      <c r="G120" t="s">
        <v>13</v>
      </c>
      <c r="H120" s="21">
        <v>0.14400778894043209</v>
      </c>
      <c r="I120" s="21">
        <v>0.59402705137237788</v>
      </c>
    </row>
    <row r="121" spans="1:9" x14ac:dyDescent="0.2">
      <c r="A121" s="6">
        <v>10</v>
      </c>
      <c r="B121" s="6" t="s">
        <v>86</v>
      </c>
      <c r="C121" s="6" t="s">
        <v>87</v>
      </c>
      <c r="D121" s="6" t="s">
        <v>47</v>
      </c>
      <c r="E121" s="6" t="s">
        <v>90</v>
      </c>
      <c r="F121" t="s">
        <v>49</v>
      </c>
      <c r="G121" t="s">
        <v>13</v>
      </c>
      <c r="H121" s="21">
        <v>-1.4212867527395029E-2</v>
      </c>
      <c r="I121" s="21">
        <v>0.1239205940009895</v>
      </c>
    </row>
    <row r="122" spans="1:9" x14ac:dyDescent="0.2">
      <c r="A122" s="6">
        <v>10</v>
      </c>
      <c r="B122" s="6" t="s">
        <v>86</v>
      </c>
      <c r="C122" s="6" t="s">
        <v>87</v>
      </c>
      <c r="D122" s="6" t="s">
        <v>47</v>
      </c>
      <c r="E122" s="6" t="s">
        <v>91</v>
      </c>
      <c r="F122" t="s">
        <v>49</v>
      </c>
      <c r="G122" t="s">
        <v>13</v>
      </c>
      <c r="H122" s="21">
        <v>-0.13772954924874789</v>
      </c>
      <c r="I122" s="21">
        <v>4.0713500259414428E-4</v>
      </c>
    </row>
    <row r="123" spans="1:9" x14ac:dyDescent="0.2">
      <c r="A123" s="6">
        <v>10</v>
      </c>
      <c r="B123" s="6" t="s">
        <v>86</v>
      </c>
      <c r="C123" s="6" t="s">
        <v>87</v>
      </c>
      <c r="D123" s="6" t="s">
        <v>47</v>
      </c>
      <c r="E123" s="6" t="s">
        <v>92</v>
      </c>
      <c r="F123" t="s">
        <v>49</v>
      </c>
      <c r="G123" t="s">
        <v>13</v>
      </c>
      <c r="H123" s="21">
        <v>1.1347449738096229</v>
      </c>
      <c r="I123" s="21">
        <v>7.4797861522851353E-2</v>
      </c>
    </row>
    <row r="124" spans="1:9" x14ac:dyDescent="0.2">
      <c r="A124" s="6">
        <v>10</v>
      </c>
      <c r="B124" s="6" t="s">
        <v>86</v>
      </c>
      <c r="C124" s="6" t="s">
        <v>87</v>
      </c>
      <c r="D124" s="6" t="s">
        <v>9</v>
      </c>
      <c r="E124" s="6" t="s">
        <v>88</v>
      </c>
      <c r="F124" t="s">
        <v>49</v>
      </c>
      <c r="G124" t="s">
        <v>13</v>
      </c>
      <c r="H124" s="21">
        <v>0.1648681787883377</v>
      </c>
      <c r="I124" s="21">
        <v>0.37156254944933392</v>
      </c>
    </row>
    <row r="125" spans="1:9" x14ac:dyDescent="0.2">
      <c r="A125" s="6">
        <v>10</v>
      </c>
      <c r="B125" s="6" t="s">
        <v>86</v>
      </c>
      <c r="C125" s="6" t="s">
        <v>87</v>
      </c>
      <c r="D125" s="6" t="s">
        <v>9</v>
      </c>
      <c r="E125" s="6" t="s">
        <v>89</v>
      </c>
      <c r="F125" t="s">
        <v>49</v>
      </c>
      <c r="G125" t="s">
        <v>13</v>
      </c>
      <c r="H125" s="21">
        <v>0.12559760301512529</v>
      </c>
      <c r="I125" s="21">
        <v>0.47784630561719288</v>
      </c>
    </row>
    <row r="126" spans="1:9" x14ac:dyDescent="0.2">
      <c r="A126" s="6">
        <v>10</v>
      </c>
      <c r="B126" s="6" t="s">
        <v>86</v>
      </c>
      <c r="C126" s="6" t="s">
        <v>87</v>
      </c>
      <c r="D126" s="6" t="s">
        <v>9</v>
      </c>
      <c r="E126" s="6" t="s">
        <v>90</v>
      </c>
      <c r="F126" t="s">
        <v>49</v>
      </c>
      <c r="G126" t="s">
        <v>13</v>
      </c>
      <c r="H126" s="21">
        <v>7.6811816808744826E-2</v>
      </c>
      <c r="I126" s="21">
        <v>7.2553633916142099E-2</v>
      </c>
    </row>
    <row r="127" spans="1:9" x14ac:dyDescent="0.2">
      <c r="A127" s="6">
        <v>10</v>
      </c>
      <c r="B127" s="6" t="s">
        <v>86</v>
      </c>
      <c r="C127" s="6" t="s">
        <v>87</v>
      </c>
      <c r="D127" s="6" t="s">
        <v>9</v>
      </c>
      <c r="E127" s="6" t="s">
        <v>91</v>
      </c>
      <c r="F127" t="s">
        <v>49</v>
      </c>
      <c r="G127" t="s">
        <v>13</v>
      </c>
      <c r="H127" s="21">
        <v>9.0742514087878812E-2</v>
      </c>
      <c r="I127" s="21">
        <v>1.0556210034920761E-2</v>
      </c>
    </row>
    <row r="128" spans="1:9" x14ac:dyDescent="0.2">
      <c r="A128" s="6">
        <v>10</v>
      </c>
      <c r="B128" s="6" t="s">
        <v>86</v>
      </c>
      <c r="C128" s="6" t="s">
        <v>87</v>
      </c>
      <c r="D128" s="6" t="s">
        <v>9</v>
      </c>
      <c r="E128" s="6" t="s">
        <v>92</v>
      </c>
      <c r="F128" t="s">
        <v>49</v>
      </c>
      <c r="G128" t="s">
        <v>13</v>
      </c>
      <c r="H128" s="21">
        <v>0.42863728715824051</v>
      </c>
      <c r="I128" s="21">
        <v>6.7481300982410453E-2</v>
      </c>
    </row>
    <row r="129" spans="1:9" x14ac:dyDescent="0.2">
      <c r="A129" s="6">
        <v>11</v>
      </c>
      <c r="B129" s="6" t="s">
        <v>94</v>
      </c>
      <c r="C129" s="6" t="s">
        <v>95</v>
      </c>
      <c r="D129" s="6" t="s">
        <v>38</v>
      </c>
      <c r="E129" s="6" t="s">
        <v>88</v>
      </c>
      <c r="F129" t="s">
        <v>49</v>
      </c>
      <c r="G129" t="s">
        <v>13</v>
      </c>
      <c r="H129" s="20">
        <v>0.668983428667564</v>
      </c>
      <c r="I129" s="20">
        <v>0.66957327514422726</v>
      </c>
    </row>
    <row r="130" spans="1:9" x14ac:dyDescent="0.2">
      <c r="A130" s="6">
        <v>11</v>
      </c>
      <c r="B130" s="6" t="s">
        <v>94</v>
      </c>
      <c r="C130" s="6" t="s">
        <v>95</v>
      </c>
      <c r="D130" s="6" t="s">
        <v>38</v>
      </c>
      <c r="E130" s="6" t="s">
        <v>89</v>
      </c>
      <c r="F130" t="s">
        <v>49</v>
      </c>
      <c r="G130" t="s">
        <v>13</v>
      </c>
      <c r="H130" s="20">
        <v>0.31614162741139529</v>
      </c>
      <c r="I130" s="20">
        <v>0.30758095303165528</v>
      </c>
    </row>
    <row r="131" spans="1:9" x14ac:dyDescent="0.2">
      <c r="A131" s="6">
        <v>11</v>
      </c>
      <c r="B131" s="6" t="s">
        <v>94</v>
      </c>
      <c r="C131" s="6" t="s">
        <v>95</v>
      </c>
      <c r="D131" s="6" t="s">
        <v>38</v>
      </c>
      <c r="E131" s="6" t="s">
        <v>90</v>
      </c>
      <c r="F131" t="s">
        <v>49</v>
      </c>
      <c r="G131" t="s">
        <v>13</v>
      </c>
      <c r="H131" s="20">
        <v>0</v>
      </c>
      <c r="I131" s="20">
        <v>0</v>
      </c>
    </row>
    <row r="132" spans="1:9" x14ac:dyDescent="0.2">
      <c r="A132" s="6">
        <v>11</v>
      </c>
      <c r="B132" s="6" t="s">
        <v>94</v>
      </c>
      <c r="C132" s="6" t="s">
        <v>95</v>
      </c>
      <c r="D132" s="6" t="s">
        <v>38</v>
      </c>
      <c r="E132" s="6" t="s">
        <v>91</v>
      </c>
      <c r="F132" t="s">
        <v>49</v>
      </c>
      <c r="G132" t="s">
        <v>13</v>
      </c>
      <c r="H132" s="20">
        <v>2.0696640870345451E-3</v>
      </c>
      <c r="I132" s="20">
        <v>3.2026782931005768E-3</v>
      </c>
    </row>
    <row r="133" spans="1:9" x14ac:dyDescent="0.2">
      <c r="A133" s="6">
        <v>11</v>
      </c>
      <c r="B133" s="6" t="s">
        <v>94</v>
      </c>
      <c r="C133" s="6" t="s">
        <v>95</v>
      </c>
      <c r="D133" s="6" t="s">
        <v>38</v>
      </c>
      <c r="E133" s="6" t="s">
        <v>92</v>
      </c>
      <c r="F133" t="s">
        <v>49</v>
      </c>
      <c r="G133" t="s">
        <v>13</v>
      </c>
      <c r="H133" s="20">
        <v>1.280527983400628E-2</v>
      </c>
      <c r="I133" s="20">
        <v>1.964309353101687E-2</v>
      </c>
    </row>
    <row r="134" spans="1:9" x14ac:dyDescent="0.2">
      <c r="A134" s="6">
        <v>11</v>
      </c>
      <c r="B134" s="6" t="s">
        <v>94</v>
      </c>
      <c r="C134" s="6" t="s">
        <v>95</v>
      </c>
      <c r="D134" s="6" t="s">
        <v>96</v>
      </c>
      <c r="E134" s="6" t="s">
        <v>88</v>
      </c>
      <c r="F134" t="s">
        <v>49</v>
      </c>
      <c r="G134" t="s">
        <v>13</v>
      </c>
      <c r="H134" s="20">
        <v>0.94749826719120389</v>
      </c>
      <c r="I134" s="20">
        <v>0.91009571067979567</v>
      </c>
    </row>
    <row r="135" spans="1:9" x14ac:dyDescent="0.2">
      <c r="A135" s="6">
        <v>11</v>
      </c>
      <c r="B135" s="6" t="s">
        <v>94</v>
      </c>
      <c r="C135" s="6" t="s">
        <v>95</v>
      </c>
      <c r="D135" s="6" t="s">
        <v>96</v>
      </c>
      <c r="E135" s="6" t="s">
        <v>89</v>
      </c>
      <c r="F135" t="s">
        <v>49</v>
      </c>
      <c r="G135" t="s">
        <v>13</v>
      </c>
      <c r="H135" s="20">
        <v>4.2426913448178727E-2</v>
      </c>
      <c r="I135" s="20">
        <v>7.7458455017703459E-2</v>
      </c>
    </row>
    <row r="136" spans="1:9" x14ac:dyDescent="0.2">
      <c r="A136" s="6">
        <v>11</v>
      </c>
      <c r="B136" s="6" t="s">
        <v>94</v>
      </c>
      <c r="C136" s="6" t="s">
        <v>95</v>
      </c>
      <c r="D136" s="6" t="s">
        <v>96</v>
      </c>
      <c r="E136" s="6" t="s">
        <v>90</v>
      </c>
      <c r="F136" t="s">
        <v>49</v>
      </c>
      <c r="G136" t="s">
        <v>13</v>
      </c>
      <c r="H136" s="20">
        <v>0</v>
      </c>
      <c r="I136" s="20">
        <v>0</v>
      </c>
    </row>
    <row r="137" spans="1:9" x14ac:dyDescent="0.2">
      <c r="A137" s="6">
        <v>11</v>
      </c>
      <c r="B137" s="6" t="s">
        <v>94</v>
      </c>
      <c r="C137" s="6" t="s">
        <v>95</v>
      </c>
      <c r="D137" s="6" t="s">
        <v>96</v>
      </c>
      <c r="E137" s="6" t="s">
        <v>91</v>
      </c>
      <c r="F137" t="s">
        <v>49</v>
      </c>
      <c r="G137" t="s">
        <v>13</v>
      </c>
      <c r="H137" s="38">
        <v>5.5782200967840968E-4</v>
      </c>
      <c r="I137" s="20">
        <v>6.5989541605286054E-4</v>
      </c>
    </row>
    <row r="138" spans="1:9" x14ac:dyDescent="0.2">
      <c r="A138" s="6">
        <v>11</v>
      </c>
      <c r="B138" s="6" t="s">
        <v>94</v>
      </c>
      <c r="C138" s="6" t="s">
        <v>95</v>
      </c>
      <c r="D138" s="6" t="s">
        <v>96</v>
      </c>
      <c r="E138" s="6" t="s">
        <v>92</v>
      </c>
      <c r="F138" t="s">
        <v>12</v>
      </c>
      <c r="G138" t="s">
        <v>13</v>
      </c>
      <c r="H138" s="20">
        <v>9.5138324033662378E-3</v>
      </c>
      <c r="I138" s="20">
        <v>1.1775601099251369E-2</v>
      </c>
    </row>
    <row r="139" spans="1:9" x14ac:dyDescent="0.2">
      <c r="A139" s="6">
        <v>11</v>
      </c>
      <c r="B139" s="6" t="s">
        <v>94</v>
      </c>
      <c r="C139" s="6" t="s">
        <v>95</v>
      </c>
      <c r="D139" s="6" t="s">
        <v>40</v>
      </c>
      <c r="E139" s="6" t="s">
        <v>88</v>
      </c>
      <c r="F139" t="s">
        <v>49</v>
      </c>
      <c r="G139" t="s">
        <v>13</v>
      </c>
      <c r="H139" s="20">
        <v>0.31352799914896889</v>
      </c>
      <c r="I139" s="20">
        <v>0.3096943974945317</v>
      </c>
    </row>
    <row r="140" spans="1:9" x14ac:dyDescent="0.2">
      <c r="A140" s="6">
        <v>11</v>
      </c>
      <c r="B140" s="6" t="s">
        <v>94</v>
      </c>
      <c r="C140" s="6" t="s">
        <v>95</v>
      </c>
      <c r="D140" s="6" t="s">
        <v>40</v>
      </c>
      <c r="E140" s="6" t="s">
        <v>89</v>
      </c>
      <c r="F140" t="s">
        <v>49</v>
      </c>
      <c r="G140" t="s">
        <v>13</v>
      </c>
      <c r="H140" s="20">
        <v>0.61047447246258058</v>
      </c>
      <c r="I140" s="20">
        <v>0.58593283953072184</v>
      </c>
    </row>
    <row r="141" spans="1:9" x14ac:dyDescent="0.2">
      <c r="A141" s="6">
        <v>11</v>
      </c>
      <c r="B141" s="6" t="s">
        <v>94</v>
      </c>
      <c r="C141" s="6" t="s">
        <v>95</v>
      </c>
      <c r="D141" s="6" t="s">
        <v>40</v>
      </c>
      <c r="E141" s="6" t="s">
        <v>90</v>
      </c>
      <c r="F141" t="s">
        <v>49</v>
      </c>
      <c r="G141" t="s">
        <v>13</v>
      </c>
      <c r="H141" s="20">
        <v>0</v>
      </c>
      <c r="I141" s="20">
        <v>0</v>
      </c>
    </row>
    <row r="142" spans="1:9" x14ac:dyDescent="0.2">
      <c r="A142" s="6">
        <v>11</v>
      </c>
      <c r="B142" s="6" t="s">
        <v>94</v>
      </c>
      <c r="C142" s="6" t="s">
        <v>95</v>
      </c>
      <c r="D142" s="6" t="s">
        <v>40</v>
      </c>
      <c r="E142" s="6" t="s">
        <v>91</v>
      </c>
      <c r="F142" t="s">
        <v>49</v>
      </c>
      <c r="G142" t="s">
        <v>13</v>
      </c>
      <c r="H142" s="20">
        <v>5.5701795087106194E-3</v>
      </c>
      <c r="I142" s="20">
        <v>1.2834932392125671E-2</v>
      </c>
    </row>
    <row r="143" spans="1:9" x14ac:dyDescent="0.2">
      <c r="A143" s="6">
        <v>11</v>
      </c>
      <c r="B143" s="6" t="s">
        <v>94</v>
      </c>
      <c r="C143" s="6" t="s">
        <v>95</v>
      </c>
      <c r="D143" s="6" t="s">
        <v>40</v>
      </c>
      <c r="E143" s="6" t="s">
        <v>92</v>
      </c>
      <c r="F143" t="s">
        <v>12</v>
      </c>
      <c r="G143" t="s">
        <v>13</v>
      </c>
      <c r="H143" s="20">
        <v>7.042734887973981E-2</v>
      </c>
      <c r="I143" s="20">
        <v>9.1537830582620799E-2</v>
      </c>
    </row>
    <row r="144" spans="1:9" x14ac:dyDescent="0.2">
      <c r="A144" s="6">
        <v>11</v>
      </c>
      <c r="B144" s="6" t="s">
        <v>94</v>
      </c>
      <c r="C144" s="6" t="s">
        <v>95</v>
      </c>
      <c r="D144" s="6" t="s">
        <v>41</v>
      </c>
      <c r="E144" s="6" t="s">
        <v>88</v>
      </c>
      <c r="F144" t="s">
        <v>49</v>
      </c>
      <c r="G144" t="s">
        <v>13</v>
      </c>
      <c r="H144" s="20">
        <v>0.63484331093152835</v>
      </c>
      <c r="I144" s="20">
        <v>0.59050439660678344</v>
      </c>
    </row>
    <row r="145" spans="1:9" x14ac:dyDescent="0.2">
      <c r="A145" s="6">
        <v>11</v>
      </c>
      <c r="B145" s="6" t="s">
        <v>94</v>
      </c>
      <c r="C145" s="6" t="s">
        <v>95</v>
      </c>
      <c r="D145" s="6" t="s">
        <v>41</v>
      </c>
      <c r="E145" s="6" t="s">
        <v>89</v>
      </c>
      <c r="F145" t="s">
        <v>49</v>
      </c>
      <c r="G145" t="s">
        <v>13</v>
      </c>
      <c r="H145" s="20">
        <v>0.32602839694079438</v>
      </c>
      <c r="I145" s="20">
        <v>0.37088417404993113</v>
      </c>
    </row>
    <row r="146" spans="1:9" x14ac:dyDescent="0.2">
      <c r="A146" s="6">
        <v>11</v>
      </c>
      <c r="B146" s="6" t="s">
        <v>94</v>
      </c>
      <c r="C146" s="6" t="s">
        <v>95</v>
      </c>
      <c r="D146" s="6" t="s">
        <v>41</v>
      </c>
      <c r="E146" s="6" t="s">
        <v>90</v>
      </c>
      <c r="F146" t="s">
        <v>49</v>
      </c>
      <c r="G146" t="s">
        <v>13</v>
      </c>
      <c r="H146" s="20">
        <v>0</v>
      </c>
      <c r="I146" s="20">
        <v>0</v>
      </c>
    </row>
    <row r="147" spans="1:9" x14ac:dyDescent="0.2">
      <c r="A147" s="6">
        <v>11</v>
      </c>
      <c r="B147" s="6" t="s">
        <v>94</v>
      </c>
      <c r="C147" s="6" t="s">
        <v>95</v>
      </c>
      <c r="D147" s="6" t="s">
        <v>41</v>
      </c>
      <c r="E147" s="6" t="s">
        <v>91</v>
      </c>
      <c r="F147" t="s">
        <v>49</v>
      </c>
      <c r="G147" t="s">
        <v>13</v>
      </c>
      <c r="H147" s="20">
        <v>1.284360458270278E-2</v>
      </c>
      <c r="I147" s="20">
        <v>1.5947184020464689E-2</v>
      </c>
    </row>
    <row r="148" spans="1:9" x14ac:dyDescent="0.2">
      <c r="A148" s="6">
        <v>11</v>
      </c>
      <c r="B148" s="6" t="s">
        <v>94</v>
      </c>
      <c r="C148" s="6" t="s">
        <v>95</v>
      </c>
      <c r="D148" s="6" t="s">
        <v>41</v>
      </c>
      <c r="E148" s="6" t="s">
        <v>92</v>
      </c>
      <c r="F148" t="s">
        <v>12</v>
      </c>
      <c r="G148" t="s">
        <v>13</v>
      </c>
      <c r="H148" s="20">
        <v>2.6284687544974421E-2</v>
      </c>
      <c r="I148" s="20">
        <v>2.2664245322820829E-2</v>
      </c>
    </row>
    <row r="149" spans="1:9" x14ac:dyDescent="0.2">
      <c r="A149" s="6">
        <v>11</v>
      </c>
      <c r="B149" s="6" t="s">
        <v>94</v>
      </c>
      <c r="C149" s="6" t="s">
        <v>95</v>
      </c>
      <c r="D149" s="6" t="s">
        <v>43</v>
      </c>
      <c r="E149" s="6" t="s">
        <v>88</v>
      </c>
      <c r="F149" t="s">
        <v>49</v>
      </c>
      <c r="G149" t="s">
        <v>13</v>
      </c>
      <c r="H149" s="20">
        <v>0.46913116907487329</v>
      </c>
      <c r="I149" s="20">
        <v>0.47629125057866539</v>
      </c>
    </row>
    <row r="150" spans="1:9" x14ac:dyDescent="0.2">
      <c r="A150" s="6">
        <v>11</v>
      </c>
      <c r="B150" s="6" t="s">
        <v>94</v>
      </c>
      <c r="C150" s="6" t="s">
        <v>95</v>
      </c>
      <c r="D150" s="6" t="s">
        <v>43</v>
      </c>
      <c r="E150" s="6" t="s">
        <v>89</v>
      </c>
      <c r="F150" t="s">
        <v>49</v>
      </c>
      <c r="G150" t="s">
        <v>13</v>
      </c>
      <c r="H150" s="20">
        <v>0.50858995347512959</v>
      </c>
      <c r="I150" s="20">
        <v>0.50372825871304805</v>
      </c>
    </row>
    <row r="151" spans="1:9" x14ac:dyDescent="0.2">
      <c r="A151" s="6">
        <v>11</v>
      </c>
      <c r="B151" s="6" t="s">
        <v>94</v>
      </c>
      <c r="C151" s="6" t="s">
        <v>95</v>
      </c>
      <c r="D151" s="6" t="s">
        <v>43</v>
      </c>
      <c r="E151" s="6" t="s">
        <v>90</v>
      </c>
      <c r="F151" t="s">
        <v>49</v>
      </c>
      <c r="G151" t="s">
        <v>13</v>
      </c>
      <c r="H151" s="20">
        <v>0</v>
      </c>
      <c r="I151" s="20">
        <v>0</v>
      </c>
    </row>
    <row r="152" spans="1:9" x14ac:dyDescent="0.2">
      <c r="A152" s="6">
        <v>11</v>
      </c>
      <c r="B152" s="6" t="s">
        <v>94</v>
      </c>
      <c r="C152" s="6" t="s">
        <v>95</v>
      </c>
      <c r="D152" s="6" t="s">
        <v>43</v>
      </c>
      <c r="E152" s="6" t="s">
        <v>91</v>
      </c>
      <c r="F152" t="s">
        <v>49</v>
      </c>
      <c r="G152" t="s">
        <v>13</v>
      </c>
      <c r="H152" s="20">
        <v>9.4473311289560693E-4</v>
      </c>
      <c r="I152" s="20">
        <v>1.6037299120428539E-3</v>
      </c>
    </row>
    <row r="153" spans="1:9" x14ac:dyDescent="0.2">
      <c r="A153" s="6">
        <v>11</v>
      </c>
      <c r="B153" s="6" t="s">
        <v>94</v>
      </c>
      <c r="C153" s="6" t="s">
        <v>95</v>
      </c>
      <c r="D153" s="6" t="s">
        <v>43</v>
      </c>
      <c r="E153" s="6" t="s">
        <v>92</v>
      </c>
      <c r="F153" t="s">
        <v>12</v>
      </c>
      <c r="G153" t="s">
        <v>13</v>
      </c>
      <c r="H153" s="20">
        <v>2.1334144337101481E-2</v>
      </c>
      <c r="I153" s="20">
        <v>1.8376760796243629E-2</v>
      </c>
    </row>
    <row r="154" spans="1:9" x14ac:dyDescent="0.2">
      <c r="A154" s="6">
        <v>11</v>
      </c>
      <c r="B154" s="6" t="s">
        <v>94</v>
      </c>
      <c r="C154" s="6" t="s">
        <v>95</v>
      </c>
      <c r="D154" s="6" t="s">
        <v>97</v>
      </c>
      <c r="E154" s="6" t="s">
        <v>88</v>
      </c>
      <c r="F154" t="s">
        <v>49</v>
      </c>
      <c r="G154" t="s">
        <v>13</v>
      </c>
      <c r="H154" s="20">
        <v>0.94645918501912174</v>
      </c>
      <c r="I154" s="20">
        <v>1</v>
      </c>
    </row>
    <row r="155" spans="1:9" x14ac:dyDescent="0.2">
      <c r="A155" s="6">
        <v>11</v>
      </c>
      <c r="B155" s="6" t="s">
        <v>94</v>
      </c>
      <c r="C155" s="6" t="s">
        <v>95</v>
      </c>
      <c r="D155" s="6" t="s">
        <v>97</v>
      </c>
      <c r="E155" s="6" t="s">
        <v>89</v>
      </c>
      <c r="F155" t="s">
        <v>49</v>
      </c>
      <c r="G155" t="s">
        <v>13</v>
      </c>
      <c r="H155" s="20">
        <v>0</v>
      </c>
      <c r="I155" s="20">
        <v>0</v>
      </c>
    </row>
    <row r="156" spans="1:9" x14ac:dyDescent="0.2">
      <c r="A156" s="6">
        <v>11</v>
      </c>
      <c r="B156" s="6" t="s">
        <v>94</v>
      </c>
      <c r="C156" s="6" t="s">
        <v>95</v>
      </c>
      <c r="D156" s="6" t="s">
        <v>97</v>
      </c>
      <c r="E156" s="6" t="s">
        <v>90</v>
      </c>
      <c r="F156" t="s">
        <v>49</v>
      </c>
      <c r="G156" t="s">
        <v>13</v>
      </c>
      <c r="H156" s="20">
        <v>0</v>
      </c>
      <c r="I156" s="20">
        <v>0</v>
      </c>
    </row>
    <row r="157" spans="1:9" x14ac:dyDescent="0.2">
      <c r="A157" s="6">
        <v>11</v>
      </c>
      <c r="B157" s="6" t="s">
        <v>94</v>
      </c>
      <c r="C157" s="6" t="s">
        <v>95</v>
      </c>
      <c r="D157" s="6" t="s">
        <v>97</v>
      </c>
      <c r="E157" s="6" t="s">
        <v>91</v>
      </c>
      <c r="F157" t="s">
        <v>49</v>
      </c>
      <c r="G157" t="s">
        <v>13</v>
      </c>
      <c r="H157" s="20">
        <v>0</v>
      </c>
      <c r="I157" s="20">
        <v>0</v>
      </c>
    </row>
    <row r="158" spans="1:9" x14ac:dyDescent="0.2">
      <c r="A158" s="6">
        <v>11</v>
      </c>
      <c r="B158" s="6" t="s">
        <v>94</v>
      </c>
      <c r="C158" s="6" t="s">
        <v>95</v>
      </c>
      <c r="D158" s="6" t="s">
        <v>97</v>
      </c>
      <c r="E158" s="6" t="s">
        <v>92</v>
      </c>
      <c r="F158" t="s">
        <v>12</v>
      </c>
      <c r="G158" t="s">
        <v>13</v>
      </c>
      <c r="H158" s="20">
        <v>5.3540814980878267E-2</v>
      </c>
      <c r="I158" s="20">
        <v>0</v>
      </c>
    </row>
    <row r="159" spans="1:9" x14ac:dyDescent="0.2">
      <c r="A159" s="6">
        <v>11</v>
      </c>
      <c r="B159" s="6" t="s">
        <v>94</v>
      </c>
      <c r="C159" s="6" t="s">
        <v>95</v>
      </c>
      <c r="D159" s="6" t="s">
        <v>98</v>
      </c>
      <c r="E159" s="6" t="s">
        <v>88</v>
      </c>
      <c r="F159" t="s">
        <v>49</v>
      </c>
      <c r="G159" t="s">
        <v>13</v>
      </c>
      <c r="H159" s="20">
        <v>0.16617954070981211</v>
      </c>
      <c r="I159" s="20">
        <v>1</v>
      </c>
    </row>
    <row r="160" spans="1:9" x14ac:dyDescent="0.2">
      <c r="A160" s="6">
        <v>11</v>
      </c>
      <c r="B160" s="6" t="s">
        <v>94</v>
      </c>
      <c r="C160" s="6" t="s">
        <v>95</v>
      </c>
      <c r="D160" s="6" t="s">
        <v>98</v>
      </c>
      <c r="E160" s="6" t="s">
        <v>89</v>
      </c>
      <c r="F160" t="s">
        <v>49</v>
      </c>
      <c r="G160" t="s">
        <v>13</v>
      </c>
      <c r="H160" s="20">
        <v>0.83382045929018789</v>
      </c>
      <c r="I160" s="20">
        <v>0</v>
      </c>
    </row>
    <row r="161" spans="1:9" x14ac:dyDescent="0.2">
      <c r="A161" s="6">
        <v>11</v>
      </c>
      <c r="B161" s="6" t="s">
        <v>94</v>
      </c>
      <c r="C161" s="6" t="s">
        <v>95</v>
      </c>
      <c r="D161" s="6" t="s">
        <v>98</v>
      </c>
      <c r="E161" s="6" t="s">
        <v>90</v>
      </c>
      <c r="F161" t="s">
        <v>49</v>
      </c>
      <c r="G161" t="s">
        <v>13</v>
      </c>
      <c r="H161" s="20">
        <v>0</v>
      </c>
      <c r="I161" s="20">
        <v>0</v>
      </c>
    </row>
    <row r="162" spans="1:9" x14ac:dyDescent="0.2">
      <c r="A162" s="6">
        <v>11</v>
      </c>
      <c r="B162" s="6" t="s">
        <v>94</v>
      </c>
      <c r="C162" s="6" t="s">
        <v>95</v>
      </c>
      <c r="D162" s="6" t="s">
        <v>98</v>
      </c>
      <c r="E162" s="6" t="s">
        <v>91</v>
      </c>
      <c r="F162" t="s">
        <v>49</v>
      </c>
      <c r="G162" s="17" t="s">
        <v>13</v>
      </c>
      <c r="H162" s="20">
        <v>0</v>
      </c>
      <c r="I162" s="20">
        <v>0</v>
      </c>
    </row>
    <row r="163" spans="1:9" x14ac:dyDescent="0.2">
      <c r="A163" s="6">
        <v>11</v>
      </c>
      <c r="B163" s="6" t="s">
        <v>94</v>
      </c>
      <c r="C163" s="6" t="s">
        <v>95</v>
      </c>
      <c r="D163" s="6" t="s">
        <v>98</v>
      </c>
      <c r="E163" s="6" t="s">
        <v>92</v>
      </c>
      <c r="F163" t="s">
        <v>12</v>
      </c>
      <c r="G163" t="s">
        <v>13</v>
      </c>
      <c r="H163" s="20">
        <v>0</v>
      </c>
      <c r="I163" s="20">
        <v>0</v>
      </c>
    </row>
    <row r="164" spans="1:9" x14ac:dyDescent="0.2">
      <c r="A164" s="6">
        <v>11</v>
      </c>
      <c r="B164" s="6" t="s">
        <v>94</v>
      </c>
      <c r="C164" s="6" t="s">
        <v>95</v>
      </c>
      <c r="D164" s="6" t="s">
        <v>15</v>
      </c>
      <c r="E164" s="6" t="s">
        <v>88</v>
      </c>
      <c r="F164" t="s">
        <v>49</v>
      </c>
      <c r="G164" t="s">
        <v>13</v>
      </c>
      <c r="H164" s="20">
        <v>0.71420448461738828</v>
      </c>
      <c r="I164" s="20">
        <v>0.70425630496470359</v>
      </c>
    </row>
    <row r="165" spans="1:9" x14ac:dyDescent="0.2">
      <c r="A165" s="6">
        <v>11</v>
      </c>
      <c r="B165" s="6" t="s">
        <v>94</v>
      </c>
      <c r="C165" s="6" t="s">
        <v>95</v>
      </c>
      <c r="D165" s="6" t="s">
        <v>15</v>
      </c>
      <c r="E165" s="6" t="s">
        <v>89</v>
      </c>
      <c r="F165" t="s">
        <v>49</v>
      </c>
      <c r="G165" t="s">
        <v>13</v>
      </c>
      <c r="H165" s="20">
        <v>0.25844769144962992</v>
      </c>
      <c r="I165" s="20">
        <v>0.26418949213717968</v>
      </c>
    </row>
    <row r="166" spans="1:9" x14ac:dyDescent="0.2">
      <c r="A166" s="6">
        <v>11</v>
      </c>
      <c r="B166" s="6" t="s">
        <v>94</v>
      </c>
      <c r="C166" s="6" t="s">
        <v>95</v>
      </c>
      <c r="D166" s="6" t="s">
        <v>15</v>
      </c>
      <c r="E166" s="6" t="s">
        <v>90</v>
      </c>
      <c r="F166" t="s">
        <v>49</v>
      </c>
      <c r="G166" t="s">
        <v>13</v>
      </c>
      <c r="H166" s="20">
        <v>0</v>
      </c>
      <c r="I166" s="20">
        <v>0</v>
      </c>
    </row>
    <row r="167" spans="1:9" x14ac:dyDescent="0.2">
      <c r="A167" s="6">
        <v>11</v>
      </c>
      <c r="B167" s="6" t="s">
        <v>94</v>
      </c>
      <c r="C167" s="6" t="s">
        <v>95</v>
      </c>
      <c r="D167" s="6" t="s">
        <v>15</v>
      </c>
      <c r="E167" s="6" t="s">
        <v>91</v>
      </c>
      <c r="F167" t="s">
        <v>49</v>
      </c>
      <c r="G167" t="s">
        <v>13</v>
      </c>
      <c r="H167" s="20">
        <v>4.2599230669656193E-3</v>
      </c>
      <c r="I167" s="20">
        <v>6.0457899160984794E-3</v>
      </c>
    </row>
    <row r="168" spans="1:9" x14ac:dyDescent="0.2">
      <c r="A168" s="6">
        <v>11</v>
      </c>
      <c r="B168" s="6" t="s">
        <v>94</v>
      </c>
      <c r="C168" s="6" t="s">
        <v>95</v>
      </c>
      <c r="D168" s="6" t="s">
        <v>15</v>
      </c>
      <c r="E168" s="6" t="s">
        <v>92</v>
      </c>
      <c r="F168" t="s">
        <v>12</v>
      </c>
      <c r="G168" t="s">
        <v>13</v>
      </c>
      <c r="H168" s="20">
        <v>2.3086622377700601E-2</v>
      </c>
      <c r="I168" s="20">
        <v>2.5503921866567469E-2</v>
      </c>
    </row>
    <row r="169" spans="1:9" x14ac:dyDescent="0.2">
      <c r="A169">
        <v>12</v>
      </c>
      <c r="B169" s="7" t="s">
        <v>99</v>
      </c>
      <c r="C169" t="s">
        <v>100</v>
      </c>
      <c r="D169" s="7" t="s">
        <v>38</v>
      </c>
      <c r="E169" t="s">
        <v>101</v>
      </c>
      <c r="F169" t="s">
        <v>65</v>
      </c>
      <c r="G169" t="s">
        <v>66</v>
      </c>
      <c r="H169" s="20">
        <v>0.29751588170865279</v>
      </c>
      <c r="I169" s="20">
        <v>0.29694592597969932</v>
      </c>
    </row>
    <row r="170" spans="1:9" x14ac:dyDescent="0.2">
      <c r="A170">
        <v>12</v>
      </c>
      <c r="B170" s="7" t="s">
        <v>99</v>
      </c>
      <c r="C170" t="s">
        <v>100</v>
      </c>
      <c r="D170" s="7" t="s">
        <v>38</v>
      </c>
      <c r="E170" s="6" t="s">
        <v>102</v>
      </c>
      <c r="F170" t="s">
        <v>65</v>
      </c>
      <c r="G170" t="s">
        <v>66</v>
      </c>
      <c r="H170" s="20">
        <v>0.20165783132530121</v>
      </c>
      <c r="I170" s="20">
        <v>0.2031074519918524</v>
      </c>
    </row>
    <row r="171" spans="1:9" x14ac:dyDescent="0.2">
      <c r="A171">
        <v>12</v>
      </c>
      <c r="B171" s="7" t="s">
        <v>99</v>
      </c>
      <c r="C171" t="s">
        <v>100</v>
      </c>
      <c r="D171" s="7" t="s">
        <v>38</v>
      </c>
      <c r="E171" s="6" t="s">
        <v>103</v>
      </c>
      <c r="F171" t="s">
        <v>65</v>
      </c>
      <c r="G171" t="s">
        <v>66</v>
      </c>
      <c r="H171" s="20">
        <v>0.1119789704271632</v>
      </c>
      <c r="I171" s="20">
        <v>8.2191400595271136E-2</v>
      </c>
    </row>
    <row r="172" spans="1:9" x14ac:dyDescent="0.2">
      <c r="A172">
        <v>12</v>
      </c>
      <c r="B172" s="7" t="s">
        <v>99</v>
      </c>
      <c r="C172" t="s">
        <v>100</v>
      </c>
      <c r="D172" s="7" t="s">
        <v>38</v>
      </c>
      <c r="E172" s="6" t="s">
        <v>104</v>
      </c>
      <c r="F172" t="s">
        <v>65</v>
      </c>
      <c r="G172" t="s">
        <v>66</v>
      </c>
      <c r="H172" s="20">
        <v>0.2817226725082147</v>
      </c>
      <c r="I172" s="20">
        <v>0.29030143608094661</v>
      </c>
    </row>
    <row r="173" spans="1:9" x14ac:dyDescent="0.2">
      <c r="A173">
        <v>12</v>
      </c>
      <c r="B173" s="7" t="s">
        <v>99</v>
      </c>
      <c r="C173" t="s">
        <v>100</v>
      </c>
      <c r="D173" s="7" t="s">
        <v>38</v>
      </c>
      <c r="E173" s="6" t="s">
        <v>105</v>
      </c>
      <c r="F173" t="s">
        <v>65</v>
      </c>
      <c r="G173" t="s">
        <v>66</v>
      </c>
      <c r="H173" s="20">
        <v>0.1009033953997809</v>
      </c>
      <c r="I173" s="20">
        <v>0.1219387733315114</v>
      </c>
    </row>
    <row r="174" spans="1:9" x14ac:dyDescent="0.2">
      <c r="A174">
        <v>12</v>
      </c>
      <c r="B174" s="7" t="s">
        <v>99</v>
      </c>
      <c r="C174" t="s">
        <v>100</v>
      </c>
      <c r="D174" s="7" t="s">
        <v>38</v>
      </c>
      <c r="E174" s="6" t="s">
        <v>106</v>
      </c>
      <c r="F174" t="s">
        <v>65</v>
      </c>
      <c r="G174" t="s">
        <v>66</v>
      </c>
      <c r="H174" s="20">
        <v>0</v>
      </c>
      <c r="I174" s="20">
        <v>0</v>
      </c>
    </row>
    <row r="175" spans="1:9" x14ac:dyDescent="0.2">
      <c r="A175">
        <v>12</v>
      </c>
      <c r="B175" s="7" t="s">
        <v>99</v>
      </c>
      <c r="C175" t="s">
        <v>100</v>
      </c>
      <c r="D175" s="7" t="s">
        <v>96</v>
      </c>
      <c r="E175" t="s">
        <v>101</v>
      </c>
      <c r="F175" t="s">
        <v>78</v>
      </c>
      <c r="G175" t="s">
        <v>79</v>
      </c>
      <c r="H175" s="20">
        <v>0.83960861546057552</v>
      </c>
      <c r="I175" s="20">
        <v>0.80238435663480456</v>
      </c>
    </row>
    <row r="176" spans="1:9" x14ac:dyDescent="0.2">
      <c r="A176">
        <v>12</v>
      </c>
      <c r="B176" s="7" t="s">
        <v>99</v>
      </c>
      <c r="C176" t="s">
        <v>100</v>
      </c>
      <c r="D176" s="7" t="s">
        <v>96</v>
      </c>
      <c r="E176" s="6" t="s">
        <v>102</v>
      </c>
      <c r="F176" t="s">
        <v>78</v>
      </c>
      <c r="G176" t="s">
        <v>79</v>
      </c>
      <c r="H176" s="20">
        <v>3.9568103394388918E-2</v>
      </c>
      <c r="I176" s="20">
        <v>5.4518909983771617E-2</v>
      </c>
    </row>
    <row r="177" spans="1:9" x14ac:dyDescent="0.2">
      <c r="A177">
        <v>12</v>
      </c>
      <c r="B177" s="7" t="s">
        <v>99</v>
      </c>
      <c r="C177" t="s">
        <v>100</v>
      </c>
      <c r="D177" s="7" t="s">
        <v>96</v>
      </c>
      <c r="E177" s="6" t="s">
        <v>103</v>
      </c>
      <c r="F177" t="s">
        <v>78</v>
      </c>
      <c r="G177" t="s">
        <v>79</v>
      </c>
      <c r="H177" s="20">
        <v>2.2495274251654309E-3</v>
      </c>
      <c r="I177" s="20">
        <v>1.9710198885990252E-3</v>
      </c>
    </row>
    <row r="178" spans="1:9" x14ac:dyDescent="0.2">
      <c r="A178">
        <v>12</v>
      </c>
      <c r="B178" s="7" t="s">
        <v>99</v>
      </c>
      <c r="C178" t="s">
        <v>100</v>
      </c>
      <c r="D178" s="7" t="s">
        <v>96</v>
      </c>
      <c r="E178" s="6" t="s">
        <v>104</v>
      </c>
      <c r="F178" t="s">
        <v>78</v>
      </c>
      <c r="G178" t="s">
        <v>79</v>
      </c>
      <c r="H178" s="20">
        <v>4.2751307344948378E-2</v>
      </c>
      <c r="I178" s="20">
        <v>5.9793348863625591E-2</v>
      </c>
    </row>
    <row r="179" spans="1:9" x14ac:dyDescent="0.2">
      <c r="A179">
        <v>12</v>
      </c>
      <c r="B179" s="7" t="s">
        <v>99</v>
      </c>
      <c r="C179" t="s">
        <v>100</v>
      </c>
      <c r="D179" s="7" t="s">
        <v>96</v>
      </c>
      <c r="E179" s="6" t="s">
        <v>105</v>
      </c>
      <c r="F179" t="s">
        <v>78</v>
      </c>
      <c r="G179" t="s">
        <v>79</v>
      </c>
      <c r="H179" s="20">
        <v>7.4239152538215461E-2</v>
      </c>
      <c r="I179" s="20">
        <v>7.9679362378944296E-2</v>
      </c>
    </row>
    <row r="180" spans="1:9" x14ac:dyDescent="0.2">
      <c r="A180">
        <v>12</v>
      </c>
      <c r="B180" s="7" t="s">
        <v>99</v>
      </c>
      <c r="C180" t="s">
        <v>100</v>
      </c>
      <c r="D180" s="7" t="s">
        <v>96</v>
      </c>
      <c r="E180" s="6" t="s">
        <v>106</v>
      </c>
      <c r="F180" t="s">
        <v>78</v>
      </c>
      <c r="G180" t="s">
        <v>79</v>
      </c>
      <c r="H180" s="20">
        <v>0</v>
      </c>
      <c r="I180" s="20">
        <v>0</v>
      </c>
    </row>
    <row r="181" spans="1:9" x14ac:dyDescent="0.2">
      <c r="A181">
        <v>12</v>
      </c>
      <c r="B181" s="7" t="s">
        <v>99</v>
      </c>
      <c r="C181" t="s">
        <v>100</v>
      </c>
      <c r="D181" s="7" t="s">
        <v>40</v>
      </c>
      <c r="E181" t="s">
        <v>101</v>
      </c>
      <c r="F181" t="s">
        <v>67</v>
      </c>
      <c r="G181" t="s">
        <v>68</v>
      </c>
      <c r="H181" s="20">
        <v>0.1193661629136045</v>
      </c>
      <c r="I181" s="20">
        <v>0.1371074731946175</v>
      </c>
    </row>
    <row r="182" spans="1:9" x14ac:dyDescent="0.2">
      <c r="A182">
        <v>12</v>
      </c>
      <c r="B182" s="7" t="s">
        <v>99</v>
      </c>
      <c r="C182" t="s">
        <v>100</v>
      </c>
      <c r="D182" s="7" t="s">
        <v>40</v>
      </c>
      <c r="E182" s="6" t="s">
        <v>102</v>
      </c>
      <c r="F182" t="s">
        <v>67</v>
      </c>
      <c r="G182" t="s">
        <v>68</v>
      </c>
      <c r="H182" s="20">
        <v>0.17486199037157921</v>
      </c>
      <c r="I182" s="20">
        <v>0.1793746912448696</v>
      </c>
    </row>
    <row r="183" spans="1:9" x14ac:dyDescent="0.2">
      <c r="A183">
        <v>12</v>
      </c>
      <c r="B183" s="7" t="s">
        <v>99</v>
      </c>
      <c r="C183" t="s">
        <v>100</v>
      </c>
      <c r="D183" s="7" t="s">
        <v>40</v>
      </c>
      <c r="E183" s="6" t="s">
        <v>103</v>
      </c>
      <c r="F183" t="s">
        <v>67</v>
      </c>
      <c r="G183" t="s">
        <v>68</v>
      </c>
      <c r="H183" s="20">
        <v>0.12628758060463949</v>
      </c>
      <c r="I183" s="20">
        <v>0.12914120245947741</v>
      </c>
    </row>
    <row r="184" spans="1:9" x14ac:dyDescent="0.2">
      <c r="A184">
        <v>12</v>
      </c>
      <c r="B184" s="7" t="s">
        <v>99</v>
      </c>
      <c r="C184" t="s">
        <v>100</v>
      </c>
      <c r="D184" s="7" t="s">
        <v>40</v>
      </c>
      <c r="E184" s="6" t="s">
        <v>104</v>
      </c>
      <c r="F184" t="s">
        <v>67</v>
      </c>
      <c r="G184" t="s">
        <v>68</v>
      </c>
      <c r="H184" s="20">
        <v>0.53470554550866078</v>
      </c>
      <c r="I184" s="20">
        <v>0.51171793684773048</v>
      </c>
    </row>
    <row r="185" spans="1:9" x14ac:dyDescent="0.2">
      <c r="A185">
        <v>12</v>
      </c>
      <c r="B185" s="7" t="s">
        <v>99</v>
      </c>
      <c r="C185" t="s">
        <v>100</v>
      </c>
      <c r="D185" s="7" t="s">
        <v>40</v>
      </c>
      <c r="E185" s="6" t="s">
        <v>105</v>
      </c>
      <c r="F185" t="s">
        <v>67</v>
      </c>
      <c r="G185" t="s">
        <v>68</v>
      </c>
      <c r="H185" s="20">
        <v>4.3271309161938089E-2</v>
      </c>
      <c r="I185" s="20">
        <v>4.1092783441093413E-2</v>
      </c>
    </row>
    <row r="186" spans="1:9" x14ac:dyDescent="0.2">
      <c r="A186">
        <v>12</v>
      </c>
      <c r="B186" s="7" t="s">
        <v>99</v>
      </c>
      <c r="C186" t="s">
        <v>100</v>
      </c>
      <c r="D186" s="7" t="s">
        <v>40</v>
      </c>
      <c r="E186" s="6" t="s">
        <v>106</v>
      </c>
      <c r="F186" t="s">
        <v>67</v>
      </c>
      <c r="G186" t="s">
        <v>68</v>
      </c>
      <c r="H186" s="20">
        <v>0</v>
      </c>
      <c r="I186" s="20">
        <v>0</v>
      </c>
    </row>
    <row r="187" spans="1:9" x14ac:dyDescent="0.2">
      <c r="A187">
        <v>12</v>
      </c>
      <c r="B187" s="7" t="s">
        <v>99</v>
      </c>
      <c r="C187" t="s">
        <v>100</v>
      </c>
      <c r="D187" s="7" t="s">
        <v>41</v>
      </c>
      <c r="E187" t="s">
        <v>101</v>
      </c>
      <c r="F187" t="s">
        <v>69</v>
      </c>
      <c r="G187" t="s">
        <v>70</v>
      </c>
      <c r="H187" s="20">
        <v>0.4074293107174356</v>
      </c>
      <c r="I187" s="20">
        <v>0.38327040962666009</v>
      </c>
    </row>
    <row r="188" spans="1:9" x14ac:dyDescent="0.2">
      <c r="A188">
        <v>12</v>
      </c>
      <c r="B188" s="7" t="s">
        <v>99</v>
      </c>
      <c r="C188" t="s">
        <v>100</v>
      </c>
      <c r="D188" s="7" t="s">
        <v>41</v>
      </c>
      <c r="E188" s="6" t="s">
        <v>102</v>
      </c>
      <c r="F188" t="s">
        <v>69</v>
      </c>
      <c r="G188" t="s">
        <v>70</v>
      </c>
      <c r="H188" s="20">
        <v>9.1019934932567007E-2</v>
      </c>
      <c r="I188" s="20">
        <v>0.1161859562291134</v>
      </c>
    </row>
    <row r="189" spans="1:9" x14ac:dyDescent="0.2">
      <c r="A189">
        <v>12</v>
      </c>
      <c r="B189" s="7" t="s">
        <v>99</v>
      </c>
      <c r="C189" t="s">
        <v>100</v>
      </c>
      <c r="D189" s="7" t="s">
        <v>41</v>
      </c>
      <c r="E189" s="6" t="s">
        <v>103</v>
      </c>
      <c r="F189" t="s">
        <v>69</v>
      </c>
      <c r="G189" t="s">
        <v>70</v>
      </c>
      <c r="H189" s="20">
        <v>9.7512076024928881E-2</v>
      </c>
      <c r="I189" s="20">
        <v>6.5024313453444241E-2</v>
      </c>
    </row>
    <row r="190" spans="1:9" x14ac:dyDescent="0.2">
      <c r="A190">
        <v>12</v>
      </c>
      <c r="B190" s="7" t="s">
        <v>99</v>
      </c>
      <c r="C190" t="s">
        <v>100</v>
      </c>
      <c r="D190" s="7" t="s">
        <v>41</v>
      </c>
      <c r="E190" s="6" t="s">
        <v>104</v>
      </c>
      <c r="F190" t="s">
        <v>69</v>
      </c>
      <c r="G190" t="s">
        <v>70</v>
      </c>
      <c r="H190" s="20">
        <v>0.31736874076410432</v>
      </c>
      <c r="I190" s="20">
        <v>0.33190532094425579</v>
      </c>
    </row>
    <row r="191" spans="1:9" x14ac:dyDescent="0.2">
      <c r="A191">
        <v>12</v>
      </c>
      <c r="B191" s="7" t="s">
        <v>99</v>
      </c>
      <c r="C191" t="s">
        <v>100</v>
      </c>
      <c r="D191" s="7" t="s">
        <v>41</v>
      </c>
      <c r="E191" s="6" t="s">
        <v>105</v>
      </c>
      <c r="F191" t="s">
        <v>69</v>
      </c>
      <c r="G191" t="s">
        <v>70</v>
      </c>
      <c r="H191" s="20">
        <v>6.6501369686987097E-2</v>
      </c>
      <c r="I191" s="20">
        <v>8.7171568267774835E-2</v>
      </c>
    </row>
    <row r="192" spans="1:9" x14ac:dyDescent="0.2">
      <c r="A192">
        <v>12</v>
      </c>
      <c r="B192" s="7" t="s">
        <v>99</v>
      </c>
      <c r="C192" t="s">
        <v>100</v>
      </c>
      <c r="D192" s="7" t="s">
        <v>41</v>
      </c>
      <c r="E192" s="6" t="s">
        <v>106</v>
      </c>
      <c r="F192" t="s">
        <v>69</v>
      </c>
      <c r="G192" t="s">
        <v>70</v>
      </c>
      <c r="H192" s="20">
        <v>0</v>
      </c>
      <c r="I192" s="20">
        <v>0</v>
      </c>
    </row>
    <row r="193" spans="1:9" x14ac:dyDescent="0.2">
      <c r="A193">
        <v>12</v>
      </c>
      <c r="B193" s="7" t="s">
        <v>99</v>
      </c>
      <c r="C193" t="s">
        <v>100</v>
      </c>
      <c r="D193" s="7" t="s">
        <v>43</v>
      </c>
      <c r="E193" t="s">
        <v>101</v>
      </c>
      <c r="F193" t="s">
        <v>73</v>
      </c>
      <c r="G193" t="s">
        <v>74</v>
      </c>
      <c r="H193" s="20">
        <v>0.24235482910794481</v>
      </c>
      <c r="I193" s="20">
        <v>0.25162026321010522</v>
      </c>
    </row>
    <row r="194" spans="1:9" x14ac:dyDescent="0.2">
      <c r="A194">
        <v>12</v>
      </c>
      <c r="B194" s="7" t="s">
        <v>99</v>
      </c>
      <c r="C194" t="s">
        <v>100</v>
      </c>
      <c r="D194" s="7" t="s">
        <v>43</v>
      </c>
      <c r="E194" s="6" t="s">
        <v>102</v>
      </c>
      <c r="F194" t="s">
        <v>73</v>
      </c>
      <c r="G194" t="s">
        <v>74</v>
      </c>
      <c r="H194" s="20">
        <v>9.082320663638363E-2</v>
      </c>
      <c r="I194" s="20">
        <v>0.1205029429270551</v>
      </c>
    </row>
    <row r="195" spans="1:9" x14ac:dyDescent="0.2">
      <c r="A195">
        <v>12</v>
      </c>
      <c r="B195" s="7" t="s">
        <v>99</v>
      </c>
      <c r="C195" t="s">
        <v>100</v>
      </c>
      <c r="D195" s="7" t="s">
        <v>43</v>
      </c>
      <c r="E195" s="6" t="s">
        <v>103</v>
      </c>
      <c r="F195" t="s">
        <v>73</v>
      </c>
      <c r="G195" t="s">
        <v>74</v>
      </c>
      <c r="H195" s="20">
        <v>7.3863415770470162E-2</v>
      </c>
      <c r="I195" s="20">
        <v>0.13218371800806819</v>
      </c>
    </row>
    <row r="196" spans="1:9" x14ac:dyDescent="0.2">
      <c r="A196">
        <v>12</v>
      </c>
      <c r="B196" s="7" t="s">
        <v>99</v>
      </c>
      <c r="C196" t="s">
        <v>100</v>
      </c>
      <c r="D196" s="7" t="s">
        <v>43</v>
      </c>
      <c r="E196" s="6" t="s">
        <v>104</v>
      </c>
      <c r="F196" t="s">
        <v>73</v>
      </c>
      <c r="G196" t="s">
        <v>74</v>
      </c>
      <c r="H196" s="20">
        <v>0.53563432594375637</v>
      </c>
      <c r="I196" s="20">
        <v>0.41053005753587718</v>
      </c>
    </row>
    <row r="197" spans="1:9" x14ac:dyDescent="0.2">
      <c r="A197">
        <v>12</v>
      </c>
      <c r="B197" s="7" t="s">
        <v>99</v>
      </c>
      <c r="C197" t="s">
        <v>100</v>
      </c>
      <c r="D197" s="7" t="s">
        <v>43</v>
      </c>
      <c r="E197" s="6" t="s">
        <v>105</v>
      </c>
      <c r="F197" t="s">
        <v>73</v>
      </c>
      <c r="G197" t="s">
        <v>74</v>
      </c>
      <c r="H197" s="20">
        <v>4.3936276222644982E-2</v>
      </c>
      <c r="I197" s="20">
        <v>7.9500363732557366E-2</v>
      </c>
    </row>
    <row r="198" spans="1:9" x14ac:dyDescent="0.2">
      <c r="A198">
        <v>12</v>
      </c>
      <c r="B198" s="7" t="s">
        <v>99</v>
      </c>
      <c r="C198" t="s">
        <v>100</v>
      </c>
      <c r="D198" s="7" t="s">
        <v>43</v>
      </c>
      <c r="E198" s="6" t="s">
        <v>106</v>
      </c>
      <c r="F198" t="s">
        <v>73</v>
      </c>
      <c r="G198" t="s">
        <v>74</v>
      </c>
      <c r="H198" s="20">
        <v>0</v>
      </c>
      <c r="I198" s="20">
        <v>0</v>
      </c>
    </row>
    <row r="199" spans="1:9" x14ac:dyDescent="0.2">
      <c r="A199">
        <v>12</v>
      </c>
      <c r="B199" s="7" t="s">
        <v>99</v>
      </c>
      <c r="C199" t="s">
        <v>100</v>
      </c>
      <c r="D199" s="7" t="s">
        <v>97</v>
      </c>
      <c r="E199" t="s">
        <v>101</v>
      </c>
      <c r="F199" t="s">
        <v>71</v>
      </c>
      <c r="G199" t="s">
        <v>72</v>
      </c>
      <c r="H199" s="20">
        <v>0.40408100882896619</v>
      </c>
      <c r="I199" s="20">
        <v>0.57809083263246419</v>
      </c>
    </row>
    <row r="200" spans="1:9" x14ac:dyDescent="0.2">
      <c r="A200">
        <v>12</v>
      </c>
      <c r="B200" s="7" t="s">
        <v>99</v>
      </c>
      <c r="C200" t="s">
        <v>100</v>
      </c>
      <c r="D200" s="7" t="s">
        <v>97</v>
      </c>
      <c r="E200" s="6" t="s">
        <v>102</v>
      </c>
      <c r="F200" t="s">
        <v>71</v>
      </c>
      <c r="G200" t="s">
        <v>72</v>
      </c>
      <c r="H200" s="20">
        <v>0</v>
      </c>
      <c r="I200" s="20">
        <v>0</v>
      </c>
    </row>
    <row r="201" spans="1:9" x14ac:dyDescent="0.2">
      <c r="A201">
        <v>12</v>
      </c>
      <c r="B201" s="7" t="s">
        <v>99</v>
      </c>
      <c r="C201" t="s">
        <v>100</v>
      </c>
      <c r="D201" s="7" t="s">
        <v>97</v>
      </c>
      <c r="E201" s="6" t="s">
        <v>103</v>
      </c>
      <c r="F201" t="s">
        <v>71</v>
      </c>
      <c r="G201" t="s">
        <v>72</v>
      </c>
      <c r="H201" s="20">
        <v>2.682551164129706E-3</v>
      </c>
      <c r="I201" s="20">
        <v>0</v>
      </c>
    </row>
    <row r="202" spans="1:9" x14ac:dyDescent="0.2">
      <c r="A202">
        <v>12</v>
      </c>
      <c r="B202" s="7" t="s">
        <v>99</v>
      </c>
      <c r="C202" t="s">
        <v>100</v>
      </c>
      <c r="D202" s="7" t="s">
        <v>97</v>
      </c>
      <c r="E202" s="6" t="s">
        <v>104</v>
      </c>
      <c r="F202" t="s">
        <v>71</v>
      </c>
      <c r="G202" t="s">
        <v>72</v>
      </c>
      <c r="H202" s="20">
        <v>0.2093364902059214</v>
      </c>
      <c r="I202" s="20">
        <v>0</v>
      </c>
    </row>
    <row r="203" spans="1:9" x14ac:dyDescent="0.2">
      <c r="A203">
        <v>12</v>
      </c>
      <c r="B203" s="7" t="s">
        <v>99</v>
      </c>
      <c r="C203" t="s">
        <v>100</v>
      </c>
      <c r="D203" s="7" t="s">
        <v>97</v>
      </c>
      <c r="E203" s="6" t="s">
        <v>105</v>
      </c>
      <c r="F203" t="s">
        <v>71</v>
      </c>
      <c r="G203" t="s">
        <v>72</v>
      </c>
      <c r="H203" s="20">
        <v>0.35982154973984792</v>
      </c>
      <c r="I203" s="20">
        <v>0.36677880571909172</v>
      </c>
    </row>
    <row r="204" spans="1:9" x14ac:dyDescent="0.2">
      <c r="A204">
        <v>12</v>
      </c>
      <c r="B204" s="7" t="s">
        <v>99</v>
      </c>
      <c r="C204" t="s">
        <v>100</v>
      </c>
      <c r="D204" s="7" t="s">
        <v>97</v>
      </c>
      <c r="E204" s="6" t="s">
        <v>106</v>
      </c>
      <c r="F204" t="s">
        <v>71</v>
      </c>
      <c r="G204" t="s">
        <v>72</v>
      </c>
      <c r="H204" s="20">
        <v>2.4077082501623891E-2</v>
      </c>
      <c r="I204" s="20">
        <v>5.5130361648444072E-2</v>
      </c>
    </row>
    <row r="205" spans="1:9" x14ac:dyDescent="0.2">
      <c r="A205">
        <v>12</v>
      </c>
      <c r="B205" s="7" t="s">
        <v>99</v>
      </c>
      <c r="C205" t="s">
        <v>100</v>
      </c>
      <c r="D205" s="7" t="s">
        <v>98</v>
      </c>
      <c r="E205" t="s">
        <v>101</v>
      </c>
      <c r="F205" t="s">
        <v>76</v>
      </c>
      <c r="G205" t="s">
        <v>77</v>
      </c>
      <c r="H205" s="20">
        <v>0</v>
      </c>
      <c r="I205" s="20">
        <v>0</v>
      </c>
    </row>
    <row r="206" spans="1:9" x14ac:dyDescent="0.2">
      <c r="A206">
        <v>12</v>
      </c>
      <c r="B206" s="7" t="s">
        <v>99</v>
      </c>
      <c r="C206" t="s">
        <v>100</v>
      </c>
      <c r="D206" s="7" t="s">
        <v>98</v>
      </c>
      <c r="E206" s="6" t="s">
        <v>102</v>
      </c>
      <c r="F206" t="s">
        <v>76</v>
      </c>
      <c r="G206" t="s">
        <v>77</v>
      </c>
      <c r="H206" s="20">
        <v>0</v>
      </c>
      <c r="I206" s="20">
        <v>0</v>
      </c>
    </row>
    <row r="207" spans="1:9" x14ac:dyDescent="0.2">
      <c r="A207">
        <v>12</v>
      </c>
      <c r="B207" s="7" t="s">
        <v>99</v>
      </c>
      <c r="C207" t="s">
        <v>100</v>
      </c>
      <c r="D207" s="7" t="s">
        <v>98</v>
      </c>
      <c r="E207" s="6" t="s">
        <v>103</v>
      </c>
      <c r="F207" t="s">
        <v>76</v>
      </c>
      <c r="G207" t="s">
        <v>77</v>
      </c>
      <c r="H207" s="20">
        <v>0</v>
      </c>
      <c r="I207" s="20">
        <v>0</v>
      </c>
    </row>
    <row r="208" spans="1:9" x14ac:dyDescent="0.2">
      <c r="A208">
        <v>12</v>
      </c>
      <c r="B208" s="7" t="s">
        <v>99</v>
      </c>
      <c r="C208" t="s">
        <v>100</v>
      </c>
      <c r="D208" s="7" t="s">
        <v>98</v>
      </c>
      <c r="E208" s="6" t="s">
        <v>104</v>
      </c>
      <c r="F208" t="s">
        <v>76</v>
      </c>
      <c r="G208" t="s">
        <v>77</v>
      </c>
      <c r="H208" s="20">
        <v>0.52141980308812597</v>
      </c>
      <c r="I208" s="20">
        <v>0</v>
      </c>
    </row>
    <row r="209" spans="1:10" x14ac:dyDescent="0.2">
      <c r="A209">
        <v>12</v>
      </c>
      <c r="B209" s="7" t="s">
        <v>99</v>
      </c>
      <c r="C209" t="s">
        <v>100</v>
      </c>
      <c r="D209" s="7" t="s">
        <v>98</v>
      </c>
      <c r="E209" s="6" t="s">
        <v>105</v>
      </c>
      <c r="F209" t="s">
        <v>76</v>
      </c>
      <c r="G209" t="s">
        <v>77</v>
      </c>
      <c r="H209" s="20">
        <v>0.47858437231208611</v>
      </c>
      <c r="I209" s="20">
        <v>1</v>
      </c>
    </row>
    <row r="210" spans="1:10" x14ac:dyDescent="0.2">
      <c r="A210">
        <v>12</v>
      </c>
      <c r="B210" s="7" t="s">
        <v>99</v>
      </c>
      <c r="C210" t="s">
        <v>100</v>
      </c>
      <c r="D210" s="7" t="s">
        <v>98</v>
      </c>
      <c r="E210" s="6" t="s">
        <v>106</v>
      </c>
      <c r="F210" t="s">
        <v>76</v>
      </c>
      <c r="G210" t="s">
        <v>77</v>
      </c>
      <c r="H210" s="20">
        <v>0</v>
      </c>
      <c r="I210" s="20">
        <v>0</v>
      </c>
    </row>
    <row r="211" spans="1:10" x14ac:dyDescent="0.2">
      <c r="A211">
        <v>13</v>
      </c>
      <c r="B211" s="7" t="s">
        <v>58</v>
      </c>
      <c r="C211" t="s">
        <v>107</v>
      </c>
      <c r="D211" t="s">
        <v>108</v>
      </c>
      <c r="E211" t="s">
        <v>101</v>
      </c>
      <c r="F211" t="s">
        <v>109</v>
      </c>
      <c r="G211" t="s">
        <v>66</v>
      </c>
      <c r="H211" s="22">
        <v>30114</v>
      </c>
      <c r="I211" s="22">
        <v>26942</v>
      </c>
      <c r="J211" s="27">
        <f t="shared" ref="J211:J217" si="5">H211/I211-1</f>
        <v>0.11773439239848571</v>
      </c>
    </row>
    <row r="212" spans="1:10" x14ac:dyDescent="0.2">
      <c r="A212">
        <v>13</v>
      </c>
      <c r="B212" s="7" t="s">
        <v>58</v>
      </c>
      <c r="C212" t="s">
        <v>107</v>
      </c>
      <c r="D212" t="s">
        <v>108</v>
      </c>
      <c r="E212" t="s">
        <v>110</v>
      </c>
      <c r="F212" t="s">
        <v>109</v>
      </c>
      <c r="G212" t="s">
        <v>66</v>
      </c>
      <c r="H212" s="22">
        <v>33679</v>
      </c>
      <c r="I212" s="22">
        <v>33119</v>
      </c>
      <c r="J212" s="27">
        <f t="shared" si="5"/>
        <v>1.6908723089465338E-2</v>
      </c>
    </row>
    <row r="213" spans="1:10" x14ac:dyDescent="0.2">
      <c r="A213">
        <v>13</v>
      </c>
      <c r="B213" s="7" t="s">
        <v>58</v>
      </c>
      <c r="C213" t="s">
        <v>107</v>
      </c>
      <c r="D213" t="s">
        <v>108</v>
      </c>
      <c r="E213" t="s">
        <v>111</v>
      </c>
      <c r="F213" t="s">
        <v>109</v>
      </c>
      <c r="G213" t="s">
        <v>66</v>
      </c>
      <c r="H213" s="22">
        <v>29366</v>
      </c>
      <c r="I213" s="22">
        <v>18576</v>
      </c>
      <c r="J213" s="27">
        <f t="shared" si="5"/>
        <v>0.58085701981050808</v>
      </c>
    </row>
    <row r="214" spans="1:10" x14ac:dyDescent="0.2">
      <c r="A214">
        <v>13</v>
      </c>
      <c r="B214" s="7" t="s">
        <v>58</v>
      </c>
      <c r="C214" t="s">
        <v>107</v>
      </c>
      <c r="D214" t="s">
        <v>108</v>
      </c>
      <c r="E214" t="s">
        <v>104</v>
      </c>
      <c r="F214" t="s">
        <v>109</v>
      </c>
      <c r="G214" t="s">
        <v>66</v>
      </c>
      <c r="H214" s="22">
        <v>33360</v>
      </c>
      <c r="I214" s="22">
        <v>33299</v>
      </c>
      <c r="J214" s="27">
        <f t="shared" si="5"/>
        <v>1.8318868434488156E-3</v>
      </c>
    </row>
    <row r="215" spans="1:10" x14ac:dyDescent="0.2">
      <c r="A215">
        <v>13</v>
      </c>
      <c r="B215" s="7" t="s">
        <v>58</v>
      </c>
      <c r="C215" t="s">
        <v>107</v>
      </c>
      <c r="D215" t="s">
        <v>108</v>
      </c>
      <c r="E215" t="s">
        <v>112</v>
      </c>
      <c r="F215" t="s">
        <v>109</v>
      </c>
      <c r="G215" t="s">
        <v>66</v>
      </c>
      <c r="H215">
        <v>380</v>
      </c>
      <c r="I215">
        <v>420</v>
      </c>
      <c r="J215" s="27">
        <f t="shared" si="5"/>
        <v>-9.5238095238095233E-2</v>
      </c>
    </row>
    <row r="216" spans="1:10" x14ac:dyDescent="0.2">
      <c r="A216">
        <v>13</v>
      </c>
      <c r="B216" s="7" t="s">
        <v>58</v>
      </c>
      <c r="C216" t="s">
        <v>107</v>
      </c>
      <c r="D216" t="s">
        <v>108</v>
      </c>
      <c r="E216" t="s">
        <v>113</v>
      </c>
      <c r="F216" t="s">
        <v>109</v>
      </c>
      <c r="G216" t="s">
        <v>66</v>
      </c>
      <c r="H216">
        <v>153</v>
      </c>
      <c r="I216">
        <v>181</v>
      </c>
      <c r="J216" s="27">
        <f t="shared" si="5"/>
        <v>-0.15469613259668513</v>
      </c>
    </row>
    <row r="217" spans="1:10" x14ac:dyDescent="0.2">
      <c r="A217">
        <v>13</v>
      </c>
      <c r="B217" s="7" t="s">
        <v>58</v>
      </c>
      <c r="C217" t="s">
        <v>107</v>
      </c>
      <c r="D217" t="s">
        <v>108</v>
      </c>
      <c r="E217" t="s">
        <v>114</v>
      </c>
      <c r="F217" t="s">
        <v>109</v>
      </c>
      <c r="G217" t="s">
        <v>66</v>
      </c>
      <c r="H217">
        <v>58</v>
      </c>
      <c r="I217">
        <v>123</v>
      </c>
      <c r="J217" s="27">
        <f t="shared" si="5"/>
        <v>-0.52845528455284552</v>
      </c>
    </row>
    <row r="218" spans="1:10" x14ac:dyDescent="0.2">
      <c r="A218">
        <v>13</v>
      </c>
      <c r="B218" s="7" t="s">
        <v>58</v>
      </c>
      <c r="C218" t="s">
        <v>107</v>
      </c>
      <c r="D218" t="s">
        <v>108</v>
      </c>
      <c r="E218" t="s">
        <v>115</v>
      </c>
      <c r="F218" t="s">
        <v>109</v>
      </c>
      <c r="G218" t="s">
        <v>66</v>
      </c>
      <c r="H218" t="s">
        <v>50</v>
      </c>
      <c r="I218" t="s">
        <v>50</v>
      </c>
      <c r="J218" s="27"/>
    </row>
    <row r="219" spans="1:10" x14ac:dyDescent="0.2">
      <c r="A219">
        <v>13</v>
      </c>
      <c r="B219" s="7" t="s">
        <v>58</v>
      </c>
      <c r="C219" t="s">
        <v>40</v>
      </c>
      <c r="D219" t="s">
        <v>108</v>
      </c>
      <c r="E219" t="s">
        <v>101</v>
      </c>
      <c r="F219" t="s">
        <v>116</v>
      </c>
      <c r="G219" t="s">
        <v>68</v>
      </c>
      <c r="H219" s="22">
        <v>7634</v>
      </c>
      <c r="I219" s="22">
        <v>8004</v>
      </c>
      <c r="J219" s="27">
        <f t="shared" ref="J219:J225" si="6">H219/I219-1</f>
        <v>-4.6226886556721691E-2</v>
      </c>
    </row>
    <row r="220" spans="1:10" x14ac:dyDescent="0.2">
      <c r="A220">
        <v>13</v>
      </c>
      <c r="B220" s="7" t="s">
        <v>58</v>
      </c>
      <c r="C220" t="s">
        <v>40</v>
      </c>
      <c r="D220" t="s">
        <v>108</v>
      </c>
      <c r="E220" t="s">
        <v>110</v>
      </c>
      <c r="F220" t="s">
        <v>116</v>
      </c>
      <c r="G220" t="s">
        <v>68</v>
      </c>
      <c r="H220" s="22">
        <v>31154</v>
      </c>
      <c r="I220" s="22">
        <v>26866</v>
      </c>
      <c r="J220" s="27">
        <f t="shared" si="6"/>
        <v>0.15960693813742277</v>
      </c>
    </row>
    <row r="221" spans="1:10" x14ac:dyDescent="0.2">
      <c r="A221">
        <v>13</v>
      </c>
      <c r="B221" s="7" t="s">
        <v>58</v>
      </c>
      <c r="C221" t="s">
        <v>40</v>
      </c>
      <c r="D221" t="s">
        <v>108</v>
      </c>
      <c r="E221" t="s">
        <v>111</v>
      </c>
      <c r="F221" t="s">
        <v>116</v>
      </c>
      <c r="G221" t="s">
        <v>68</v>
      </c>
      <c r="H221" s="22">
        <v>23761</v>
      </c>
      <c r="I221" s="22">
        <v>17775</v>
      </c>
      <c r="J221" s="27">
        <f t="shared" si="6"/>
        <v>0.33676511954992971</v>
      </c>
    </row>
    <row r="222" spans="1:10" x14ac:dyDescent="0.2">
      <c r="A222">
        <v>13</v>
      </c>
      <c r="B222" s="7" t="s">
        <v>58</v>
      </c>
      <c r="C222" t="s">
        <v>40</v>
      </c>
      <c r="D222" t="s">
        <v>108</v>
      </c>
      <c r="E222" t="s">
        <v>104</v>
      </c>
      <c r="F222" t="s">
        <v>116</v>
      </c>
      <c r="G222" t="s">
        <v>68</v>
      </c>
      <c r="H222" s="22">
        <v>32574</v>
      </c>
      <c r="I222" s="22">
        <v>18777</v>
      </c>
      <c r="J222" s="27">
        <f t="shared" si="6"/>
        <v>0.73478191404377702</v>
      </c>
    </row>
    <row r="223" spans="1:10" x14ac:dyDescent="0.2">
      <c r="A223">
        <v>13</v>
      </c>
      <c r="B223" s="7" t="s">
        <v>58</v>
      </c>
      <c r="C223" t="s">
        <v>40</v>
      </c>
      <c r="D223" t="s">
        <v>108</v>
      </c>
      <c r="E223" t="s">
        <v>112</v>
      </c>
      <c r="F223" t="s">
        <v>116</v>
      </c>
      <c r="G223" t="s">
        <v>68</v>
      </c>
      <c r="H223">
        <v>55</v>
      </c>
      <c r="I223">
        <v>34</v>
      </c>
      <c r="J223" s="27">
        <f t="shared" si="6"/>
        <v>0.61764705882352944</v>
      </c>
    </row>
    <row r="224" spans="1:10" x14ac:dyDescent="0.2">
      <c r="A224">
        <v>13</v>
      </c>
      <c r="B224" s="7" t="s">
        <v>58</v>
      </c>
      <c r="C224" t="s">
        <v>40</v>
      </c>
      <c r="D224" t="s">
        <v>108</v>
      </c>
      <c r="E224" t="s">
        <v>113</v>
      </c>
      <c r="F224" t="s">
        <v>116</v>
      </c>
      <c r="G224" t="s">
        <v>68</v>
      </c>
      <c r="H224">
        <v>41</v>
      </c>
      <c r="I224">
        <v>33</v>
      </c>
      <c r="J224" s="27">
        <f t="shared" si="6"/>
        <v>0.24242424242424243</v>
      </c>
    </row>
    <row r="225" spans="1:10" x14ac:dyDescent="0.2">
      <c r="A225">
        <v>13</v>
      </c>
      <c r="B225" s="7" t="s">
        <v>58</v>
      </c>
      <c r="C225" t="s">
        <v>40</v>
      </c>
      <c r="D225" t="s">
        <v>108</v>
      </c>
      <c r="E225" t="s">
        <v>114</v>
      </c>
      <c r="F225" t="s">
        <v>116</v>
      </c>
      <c r="G225" t="s">
        <v>68</v>
      </c>
      <c r="H225">
        <v>30</v>
      </c>
      <c r="I225">
        <v>28</v>
      </c>
      <c r="J225" s="27">
        <f t="shared" si="6"/>
        <v>7.1428571428571397E-2</v>
      </c>
    </row>
    <row r="226" spans="1:10" x14ac:dyDescent="0.2">
      <c r="A226">
        <v>13</v>
      </c>
      <c r="B226" s="7" t="s">
        <v>58</v>
      </c>
      <c r="C226" t="s">
        <v>40</v>
      </c>
      <c r="D226" t="s">
        <v>108</v>
      </c>
      <c r="E226" t="s">
        <v>115</v>
      </c>
      <c r="F226" t="s">
        <v>116</v>
      </c>
      <c r="G226" t="s">
        <v>68</v>
      </c>
      <c r="H226" t="s">
        <v>50</v>
      </c>
      <c r="I226" t="s">
        <v>50</v>
      </c>
      <c r="J226" s="27"/>
    </row>
    <row r="227" spans="1:10" x14ac:dyDescent="0.2">
      <c r="A227">
        <v>13</v>
      </c>
      <c r="B227" s="7" t="s">
        <v>58</v>
      </c>
      <c r="C227" t="s">
        <v>117</v>
      </c>
      <c r="D227" t="s">
        <v>108</v>
      </c>
      <c r="E227" t="s">
        <v>101</v>
      </c>
      <c r="F227" t="s">
        <v>118</v>
      </c>
      <c r="G227" t="s">
        <v>70</v>
      </c>
      <c r="H227" s="22">
        <v>46020</v>
      </c>
      <c r="I227" s="22">
        <v>39857</v>
      </c>
      <c r="J227" s="27">
        <f t="shared" ref="J227:J233" si="7">H227/I227-1</f>
        <v>0.15462779436485441</v>
      </c>
    </row>
    <row r="228" spans="1:10" x14ac:dyDescent="0.2">
      <c r="A228">
        <v>13</v>
      </c>
      <c r="B228" s="7" t="s">
        <v>58</v>
      </c>
      <c r="C228" t="s">
        <v>117</v>
      </c>
      <c r="D228" t="s">
        <v>108</v>
      </c>
      <c r="E228" t="s">
        <v>110</v>
      </c>
      <c r="F228" t="s">
        <v>118</v>
      </c>
      <c r="G228" t="s">
        <v>70</v>
      </c>
      <c r="H228" s="22">
        <v>14079</v>
      </c>
      <c r="I228" s="22">
        <v>15302</v>
      </c>
      <c r="J228" s="27">
        <f t="shared" si="7"/>
        <v>-7.9924192915958647E-2</v>
      </c>
    </row>
    <row r="229" spans="1:10" x14ac:dyDescent="0.2">
      <c r="A229">
        <v>13</v>
      </c>
      <c r="B229" s="7" t="s">
        <v>58</v>
      </c>
      <c r="C229" t="s">
        <v>117</v>
      </c>
      <c r="D229" t="s">
        <v>108</v>
      </c>
      <c r="E229" t="s">
        <v>111</v>
      </c>
      <c r="F229" t="s">
        <v>118</v>
      </c>
      <c r="G229" t="s">
        <v>70</v>
      </c>
      <c r="H229" s="22">
        <v>35679</v>
      </c>
      <c r="I229" s="22">
        <v>21023</v>
      </c>
      <c r="J229" s="27">
        <f t="shared" si="7"/>
        <v>0.69714122627598352</v>
      </c>
    </row>
    <row r="230" spans="1:10" x14ac:dyDescent="0.2">
      <c r="A230">
        <v>13</v>
      </c>
      <c r="B230" s="7" t="s">
        <v>58</v>
      </c>
      <c r="C230" t="s">
        <v>117</v>
      </c>
      <c r="D230" t="s">
        <v>108</v>
      </c>
      <c r="E230" t="s">
        <v>104</v>
      </c>
      <c r="F230" t="s">
        <v>118</v>
      </c>
      <c r="G230" t="s">
        <v>70</v>
      </c>
      <c r="H230" s="22">
        <v>48877</v>
      </c>
      <c r="I230" s="22">
        <v>43011</v>
      </c>
      <c r="J230" s="27">
        <f t="shared" si="7"/>
        <v>0.13638371579363429</v>
      </c>
    </row>
    <row r="231" spans="1:10" x14ac:dyDescent="0.2">
      <c r="A231">
        <v>13</v>
      </c>
      <c r="B231" s="7" t="s">
        <v>58</v>
      </c>
      <c r="C231" t="s">
        <v>117</v>
      </c>
      <c r="D231" t="s">
        <v>108</v>
      </c>
      <c r="E231" t="s">
        <v>112</v>
      </c>
      <c r="F231" t="s">
        <v>118</v>
      </c>
      <c r="G231" t="s">
        <v>70</v>
      </c>
      <c r="H231">
        <v>742</v>
      </c>
      <c r="I231">
        <v>779</v>
      </c>
      <c r="J231" s="27">
        <f t="shared" si="7"/>
        <v>-4.7496790757381224E-2</v>
      </c>
    </row>
    <row r="232" spans="1:10" x14ac:dyDescent="0.2">
      <c r="A232">
        <v>13</v>
      </c>
      <c r="B232" s="7" t="s">
        <v>58</v>
      </c>
      <c r="C232" t="s">
        <v>117</v>
      </c>
      <c r="D232" t="s">
        <v>108</v>
      </c>
      <c r="E232" t="s">
        <v>113</v>
      </c>
      <c r="F232" t="s">
        <v>118</v>
      </c>
      <c r="G232" t="s">
        <v>70</v>
      </c>
      <c r="H232">
        <v>387</v>
      </c>
      <c r="I232">
        <v>484</v>
      </c>
      <c r="J232" s="27">
        <f t="shared" si="7"/>
        <v>-0.20041322314049592</v>
      </c>
    </row>
    <row r="233" spans="1:10" x14ac:dyDescent="0.2">
      <c r="A233">
        <v>13</v>
      </c>
      <c r="B233" s="7" t="s">
        <v>58</v>
      </c>
      <c r="C233" t="s">
        <v>117</v>
      </c>
      <c r="D233" t="s">
        <v>108</v>
      </c>
      <c r="E233" t="s">
        <v>114</v>
      </c>
      <c r="F233" t="s">
        <v>118</v>
      </c>
      <c r="G233" t="s">
        <v>70</v>
      </c>
      <c r="H233" s="22">
        <v>1228</v>
      </c>
      <c r="I233">
        <v>892</v>
      </c>
      <c r="J233" s="27">
        <f t="shared" si="7"/>
        <v>0.37668161434977576</v>
      </c>
    </row>
    <row r="234" spans="1:10" x14ac:dyDescent="0.2">
      <c r="A234">
        <v>13</v>
      </c>
      <c r="B234" s="7" t="s">
        <v>58</v>
      </c>
      <c r="C234" t="s">
        <v>117</v>
      </c>
      <c r="D234" t="s">
        <v>108</v>
      </c>
      <c r="E234" t="s">
        <v>115</v>
      </c>
      <c r="F234" t="s">
        <v>118</v>
      </c>
      <c r="G234" t="s">
        <v>70</v>
      </c>
      <c r="H234" t="s">
        <v>50</v>
      </c>
      <c r="I234" t="s">
        <v>50</v>
      </c>
      <c r="J234" s="27"/>
    </row>
    <row r="235" spans="1:10" x14ac:dyDescent="0.2">
      <c r="A235">
        <v>13</v>
      </c>
      <c r="B235" s="7" t="s">
        <v>58</v>
      </c>
      <c r="C235" t="s">
        <v>119</v>
      </c>
      <c r="D235" t="s">
        <v>108</v>
      </c>
      <c r="E235" t="s">
        <v>101</v>
      </c>
      <c r="F235" t="s">
        <v>120</v>
      </c>
      <c r="G235" t="s">
        <v>79</v>
      </c>
      <c r="H235" s="22" t="s">
        <v>121</v>
      </c>
      <c r="I235" s="22" t="s">
        <v>122</v>
      </c>
      <c r="J235" s="27">
        <f t="shared" ref="J235:J248" si="8">H235/I235-1</f>
        <v>0.17224402186672028</v>
      </c>
    </row>
    <row r="236" spans="1:10" x14ac:dyDescent="0.2">
      <c r="A236">
        <v>13</v>
      </c>
      <c r="B236" s="7" t="s">
        <v>58</v>
      </c>
      <c r="C236" t="s">
        <v>119</v>
      </c>
      <c r="D236" t="s">
        <v>108</v>
      </c>
      <c r="E236" t="s">
        <v>110</v>
      </c>
      <c r="F236" t="s">
        <v>120</v>
      </c>
      <c r="G236" t="s">
        <v>79</v>
      </c>
      <c r="H236" s="22">
        <v>18337</v>
      </c>
      <c r="I236" s="22">
        <v>15975</v>
      </c>
      <c r="J236" s="27">
        <f t="shared" si="8"/>
        <v>0.14785602503912365</v>
      </c>
    </row>
    <row r="237" spans="1:10" x14ac:dyDescent="0.2">
      <c r="A237">
        <v>13</v>
      </c>
      <c r="B237" s="7" t="s">
        <v>58</v>
      </c>
      <c r="C237" t="s">
        <v>119</v>
      </c>
      <c r="D237" t="s">
        <v>108</v>
      </c>
      <c r="E237" t="s">
        <v>111</v>
      </c>
      <c r="F237" t="s">
        <v>120</v>
      </c>
      <c r="G237" t="s">
        <v>79</v>
      </c>
      <c r="H237" s="22">
        <v>704</v>
      </c>
      <c r="I237" s="22">
        <v>482</v>
      </c>
      <c r="J237" s="27">
        <f t="shared" si="8"/>
        <v>0.46058091286307046</v>
      </c>
    </row>
    <row r="238" spans="1:10" x14ac:dyDescent="0.2">
      <c r="A238">
        <v>13</v>
      </c>
      <c r="B238" s="7" t="s">
        <v>58</v>
      </c>
      <c r="C238" t="s">
        <v>119</v>
      </c>
      <c r="D238" t="s">
        <v>108</v>
      </c>
      <c r="E238" t="s">
        <v>104</v>
      </c>
      <c r="F238" t="s">
        <v>120</v>
      </c>
      <c r="G238" t="s">
        <v>79</v>
      </c>
      <c r="H238" s="22">
        <v>17172</v>
      </c>
      <c r="I238" s="22">
        <v>15847</v>
      </c>
      <c r="J238" s="27">
        <f t="shared" si="8"/>
        <v>8.3612040133779209E-2</v>
      </c>
    </row>
    <row r="239" spans="1:10" x14ac:dyDescent="0.2">
      <c r="A239">
        <v>13</v>
      </c>
      <c r="B239" s="7" t="s">
        <v>58</v>
      </c>
      <c r="C239" t="s">
        <v>119</v>
      </c>
      <c r="D239" t="s">
        <v>108</v>
      </c>
      <c r="E239" t="s">
        <v>112</v>
      </c>
      <c r="F239" t="s">
        <v>120</v>
      </c>
      <c r="G239" t="s">
        <v>79</v>
      </c>
      <c r="H239">
        <v>365</v>
      </c>
      <c r="I239">
        <v>167</v>
      </c>
      <c r="J239" s="27">
        <f t="shared" si="8"/>
        <v>1.1856287425149699</v>
      </c>
    </row>
    <row r="240" spans="1:10" x14ac:dyDescent="0.2">
      <c r="A240">
        <v>13</v>
      </c>
      <c r="B240" s="7" t="s">
        <v>58</v>
      </c>
      <c r="C240" t="s">
        <v>119</v>
      </c>
      <c r="D240" t="s">
        <v>108</v>
      </c>
      <c r="E240" t="s">
        <v>113</v>
      </c>
      <c r="F240" t="s">
        <v>120</v>
      </c>
      <c r="G240" t="s">
        <v>79</v>
      </c>
      <c r="H240">
        <v>178</v>
      </c>
      <c r="I240">
        <v>251</v>
      </c>
      <c r="J240" s="27">
        <f t="shared" si="8"/>
        <v>-0.29083665338645415</v>
      </c>
    </row>
    <row r="241" spans="1:10" x14ac:dyDescent="0.2">
      <c r="A241">
        <v>13</v>
      </c>
      <c r="B241" s="7" t="s">
        <v>58</v>
      </c>
      <c r="C241" t="s">
        <v>119</v>
      </c>
      <c r="D241" t="s">
        <v>108</v>
      </c>
      <c r="E241" t="s">
        <v>114</v>
      </c>
      <c r="F241" t="s">
        <v>120</v>
      </c>
      <c r="G241" t="s">
        <v>79</v>
      </c>
      <c r="H241" s="22">
        <v>13</v>
      </c>
      <c r="I241">
        <v>46</v>
      </c>
      <c r="J241" s="27">
        <f t="shared" si="8"/>
        <v>-0.71739130434782616</v>
      </c>
    </row>
    <row r="242" spans="1:10" x14ac:dyDescent="0.2">
      <c r="A242">
        <v>13</v>
      </c>
      <c r="B242" s="7" t="s">
        <v>58</v>
      </c>
      <c r="C242" t="s">
        <v>119</v>
      </c>
      <c r="D242" t="s">
        <v>108</v>
      </c>
      <c r="E242" t="s">
        <v>115</v>
      </c>
      <c r="F242" t="s">
        <v>120</v>
      </c>
      <c r="G242" t="s">
        <v>79</v>
      </c>
      <c r="H242">
        <v>35</v>
      </c>
      <c r="I242">
        <v>37</v>
      </c>
      <c r="J242" s="27">
        <f t="shared" si="8"/>
        <v>-5.4054054054054057E-2</v>
      </c>
    </row>
    <row r="243" spans="1:10" x14ac:dyDescent="0.2">
      <c r="A243">
        <v>13</v>
      </c>
      <c r="B243" s="7" t="s">
        <v>58</v>
      </c>
      <c r="C243" t="s">
        <v>43</v>
      </c>
      <c r="D243" t="s">
        <v>108</v>
      </c>
      <c r="E243" t="s">
        <v>101</v>
      </c>
      <c r="F243" t="s">
        <v>123</v>
      </c>
      <c r="G243" t="s">
        <v>74</v>
      </c>
      <c r="H243" s="22">
        <v>6521</v>
      </c>
      <c r="I243" s="22">
        <v>5835</v>
      </c>
      <c r="J243" s="27">
        <f t="shared" si="8"/>
        <v>0.11756640959725795</v>
      </c>
    </row>
    <row r="244" spans="1:10" x14ac:dyDescent="0.2">
      <c r="A244">
        <v>13</v>
      </c>
      <c r="B244" s="7" t="s">
        <v>58</v>
      </c>
      <c r="C244" t="s">
        <v>43</v>
      </c>
      <c r="D244" t="s">
        <v>108</v>
      </c>
      <c r="E244" t="s">
        <v>110</v>
      </c>
      <c r="F244" t="s">
        <v>123</v>
      </c>
      <c r="G244" t="s">
        <v>74</v>
      </c>
      <c r="H244" s="22">
        <v>2329</v>
      </c>
      <c r="I244" s="22">
        <v>2431</v>
      </c>
      <c r="J244" s="27">
        <f t="shared" si="8"/>
        <v>-4.1958041958041981E-2</v>
      </c>
    </row>
    <row r="245" spans="1:10" x14ac:dyDescent="0.2">
      <c r="A245">
        <v>13</v>
      </c>
      <c r="B245" s="7" t="s">
        <v>58</v>
      </c>
      <c r="C245" t="s">
        <v>43</v>
      </c>
      <c r="D245" t="s">
        <v>108</v>
      </c>
      <c r="E245" t="s">
        <v>111</v>
      </c>
      <c r="F245" t="s">
        <v>123</v>
      </c>
      <c r="G245" t="s">
        <v>74</v>
      </c>
      <c r="H245" s="22">
        <v>3558</v>
      </c>
      <c r="I245" s="22">
        <v>7866</v>
      </c>
      <c r="J245" s="27">
        <f t="shared" si="8"/>
        <v>-0.54767353165522503</v>
      </c>
    </row>
    <row r="246" spans="1:10" x14ac:dyDescent="0.2">
      <c r="A246">
        <v>13</v>
      </c>
      <c r="B246" s="7" t="s">
        <v>58</v>
      </c>
      <c r="C246" t="s">
        <v>43</v>
      </c>
      <c r="D246" t="s">
        <v>108</v>
      </c>
      <c r="E246" t="s">
        <v>104</v>
      </c>
      <c r="F246" t="s">
        <v>123</v>
      </c>
      <c r="G246" t="s">
        <v>74</v>
      </c>
      <c r="H246" s="22">
        <v>13955</v>
      </c>
      <c r="I246" s="22">
        <v>9573</v>
      </c>
      <c r="J246" s="27">
        <f t="shared" si="8"/>
        <v>0.45774574323618511</v>
      </c>
    </row>
    <row r="247" spans="1:10" x14ac:dyDescent="0.2">
      <c r="A247">
        <v>13</v>
      </c>
      <c r="B247" s="7" t="s">
        <v>58</v>
      </c>
      <c r="C247" t="s">
        <v>43</v>
      </c>
      <c r="D247" t="s">
        <v>108</v>
      </c>
      <c r="E247" t="s">
        <v>112</v>
      </c>
      <c r="F247" t="s">
        <v>123</v>
      </c>
      <c r="G247" t="s">
        <v>74</v>
      </c>
      <c r="H247">
        <v>321</v>
      </c>
      <c r="I247">
        <v>137</v>
      </c>
      <c r="J247" s="27">
        <f t="shared" si="8"/>
        <v>1.3430656934306571</v>
      </c>
    </row>
    <row r="248" spans="1:10" x14ac:dyDescent="0.2">
      <c r="A248">
        <v>13</v>
      </c>
      <c r="B248" s="7" t="s">
        <v>58</v>
      </c>
      <c r="C248" t="s">
        <v>43</v>
      </c>
      <c r="D248" t="s">
        <v>108</v>
      </c>
      <c r="E248" t="s">
        <v>113</v>
      </c>
      <c r="F248" t="s">
        <v>123</v>
      </c>
      <c r="G248" t="s">
        <v>74</v>
      </c>
      <c r="H248">
        <v>57</v>
      </c>
      <c r="I248">
        <v>54</v>
      </c>
      <c r="J248" s="27">
        <f t="shared" si="8"/>
        <v>5.555555555555558E-2</v>
      </c>
    </row>
    <row r="249" spans="1:10" x14ac:dyDescent="0.2">
      <c r="A249">
        <v>13</v>
      </c>
      <c r="B249" s="7" t="s">
        <v>58</v>
      </c>
      <c r="C249" t="s">
        <v>43</v>
      </c>
      <c r="D249" t="s">
        <v>108</v>
      </c>
      <c r="E249" t="s">
        <v>114</v>
      </c>
      <c r="F249" t="s">
        <v>123</v>
      </c>
      <c r="G249" t="s">
        <v>74</v>
      </c>
      <c r="H249" t="s">
        <v>50</v>
      </c>
      <c r="I249" t="s">
        <v>50</v>
      </c>
      <c r="J249" s="27"/>
    </row>
    <row r="250" spans="1:10" x14ac:dyDescent="0.2">
      <c r="A250">
        <v>13</v>
      </c>
      <c r="B250" s="7" t="s">
        <v>58</v>
      </c>
      <c r="C250" t="s">
        <v>43</v>
      </c>
      <c r="D250" t="s">
        <v>108</v>
      </c>
      <c r="E250" t="s">
        <v>115</v>
      </c>
      <c r="F250" t="s">
        <v>123</v>
      </c>
      <c r="G250" t="s">
        <v>74</v>
      </c>
      <c r="H250" t="s">
        <v>50</v>
      </c>
      <c r="I250" t="s">
        <v>50</v>
      </c>
      <c r="J250" s="27"/>
    </row>
    <row r="251" spans="1:10" x14ac:dyDescent="0.2">
      <c r="A251">
        <v>13</v>
      </c>
      <c r="B251" s="7" t="s">
        <v>58</v>
      </c>
      <c r="C251" t="s">
        <v>75</v>
      </c>
      <c r="D251" t="s">
        <v>108</v>
      </c>
      <c r="E251" t="s">
        <v>101</v>
      </c>
      <c r="F251" t="s">
        <v>124</v>
      </c>
      <c r="G251" t="s">
        <v>77</v>
      </c>
      <c r="H251" s="22"/>
      <c r="I251" s="22"/>
      <c r="J251" s="27"/>
    </row>
    <row r="252" spans="1:10" x14ac:dyDescent="0.2">
      <c r="A252">
        <v>13</v>
      </c>
      <c r="B252" s="7" t="s">
        <v>58</v>
      </c>
      <c r="C252" t="s">
        <v>75</v>
      </c>
      <c r="D252" t="s">
        <v>108</v>
      </c>
      <c r="E252" t="s">
        <v>110</v>
      </c>
      <c r="F252" t="s">
        <v>124</v>
      </c>
      <c r="G252" t="s">
        <v>77</v>
      </c>
      <c r="H252" s="22"/>
      <c r="I252" s="22"/>
      <c r="J252" s="27"/>
    </row>
    <row r="253" spans="1:10" x14ac:dyDescent="0.2">
      <c r="A253">
        <v>13</v>
      </c>
      <c r="B253" s="7" t="s">
        <v>58</v>
      </c>
      <c r="C253" t="s">
        <v>75</v>
      </c>
      <c r="D253" t="s">
        <v>108</v>
      </c>
      <c r="E253" t="s">
        <v>111</v>
      </c>
      <c r="F253" t="s">
        <v>124</v>
      </c>
      <c r="G253" t="s">
        <v>77</v>
      </c>
      <c r="H253" s="22"/>
      <c r="I253" s="22"/>
      <c r="J253" s="27"/>
    </row>
    <row r="254" spans="1:10" x14ac:dyDescent="0.2">
      <c r="A254">
        <v>13</v>
      </c>
      <c r="B254" s="7" t="s">
        <v>58</v>
      </c>
      <c r="C254" t="s">
        <v>75</v>
      </c>
      <c r="D254" t="s">
        <v>108</v>
      </c>
      <c r="E254" t="s">
        <v>104</v>
      </c>
      <c r="F254" t="s">
        <v>124</v>
      </c>
      <c r="G254" t="s">
        <v>77</v>
      </c>
      <c r="H254" s="22"/>
      <c r="I254" s="22"/>
      <c r="J254" s="27"/>
    </row>
    <row r="255" spans="1:10" x14ac:dyDescent="0.2">
      <c r="A255">
        <v>13</v>
      </c>
      <c r="B255" s="7" t="s">
        <v>58</v>
      </c>
      <c r="C255" t="s">
        <v>75</v>
      </c>
      <c r="D255" t="s">
        <v>108</v>
      </c>
      <c r="E255" t="s">
        <v>112</v>
      </c>
      <c r="F255" t="s">
        <v>124</v>
      </c>
      <c r="G255" t="s">
        <v>77</v>
      </c>
      <c r="J255" s="27"/>
    </row>
    <row r="256" spans="1:10" x14ac:dyDescent="0.2">
      <c r="A256">
        <v>13</v>
      </c>
      <c r="B256" s="7" t="s">
        <v>58</v>
      </c>
      <c r="C256" t="s">
        <v>75</v>
      </c>
      <c r="D256" t="s">
        <v>108</v>
      </c>
      <c r="E256" t="s">
        <v>113</v>
      </c>
      <c r="F256" t="s">
        <v>124</v>
      </c>
      <c r="G256" t="s">
        <v>77</v>
      </c>
      <c r="J256" s="27"/>
    </row>
    <row r="257" spans="1:10" x14ac:dyDescent="0.2">
      <c r="A257">
        <v>13</v>
      </c>
      <c r="B257" s="7" t="s">
        <v>58</v>
      </c>
      <c r="C257" t="s">
        <v>75</v>
      </c>
      <c r="D257" t="s">
        <v>108</v>
      </c>
      <c r="E257" t="s">
        <v>114</v>
      </c>
      <c r="F257" t="s">
        <v>124</v>
      </c>
      <c r="G257" t="s">
        <v>77</v>
      </c>
      <c r="J257" s="27"/>
    </row>
    <row r="258" spans="1:10" x14ac:dyDescent="0.2">
      <c r="A258">
        <v>13</v>
      </c>
      <c r="B258" s="7" t="s">
        <v>58</v>
      </c>
      <c r="C258" t="s">
        <v>75</v>
      </c>
      <c r="D258" t="s">
        <v>108</v>
      </c>
      <c r="E258" t="s">
        <v>115</v>
      </c>
      <c r="F258" t="s">
        <v>124</v>
      </c>
      <c r="G258" t="s">
        <v>77</v>
      </c>
      <c r="J258" s="27"/>
    </row>
    <row r="259" spans="1:10" x14ac:dyDescent="0.2">
      <c r="A259">
        <v>13</v>
      </c>
      <c r="B259" s="7" t="s">
        <v>58</v>
      </c>
      <c r="C259" t="s">
        <v>42</v>
      </c>
      <c r="D259" t="s">
        <v>108</v>
      </c>
      <c r="E259" t="s">
        <v>101</v>
      </c>
      <c r="F259" t="s">
        <v>125</v>
      </c>
      <c r="G259" t="s">
        <v>72</v>
      </c>
      <c r="H259" s="22"/>
      <c r="I259" s="22"/>
      <c r="J259" s="27"/>
    </row>
    <row r="260" spans="1:10" x14ac:dyDescent="0.2">
      <c r="A260">
        <v>13</v>
      </c>
      <c r="B260" s="7" t="s">
        <v>58</v>
      </c>
      <c r="C260" t="s">
        <v>42</v>
      </c>
      <c r="D260" t="s">
        <v>108</v>
      </c>
      <c r="E260" t="s">
        <v>110</v>
      </c>
      <c r="F260" t="s">
        <v>125</v>
      </c>
      <c r="G260" t="s">
        <v>72</v>
      </c>
      <c r="H260" s="22"/>
      <c r="I260" s="22"/>
      <c r="J260" s="27"/>
    </row>
    <row r="261" spans="1:10" x14ac:dyDescent="0.2">
      <c r="A261">
        <v>13</v>
      </c>
      <c r="B261" s="7" t="s">
        <v>58</v>
      </c>
      <c r="C261" t="s">
        <v>42</v>
      </c>
      <c r="D261" t="s">
        <v>108</v>
      </c>
      <c r="E261" t="s">
        <v>111</v>
      </c>
      <c r="F261" t="s">
        <v>125</v>
      </c>
      <c r="G261" t="s">
        <v>72</v>
      </c>
      <c r="H261" s="22"/>
      <c r="I261" s="22"/>
      <c r="J261" s="27"/>
    </row>
    <row r="262" spans="1:10" x14ac:dyDescent="0.2">
      <c r="A262">
        <v>13</v>
      </c>
      <c r="B262" s="7" t="s">
        <v>58</v>
      </c>
      <c r="C262" t="s">
        <v>42</v>
      </c>
      <c r="D262" t="s">
        <v>108</v>
      </c>
      <c r="E262" t="s">
        <v>104</v>
      </c>
      <c r="F262" t="s">
        <v>125</v>
      </c>
      <c r="G262" t="s">
        <v>72</v>
      </c>
      <c r="H262" s="22"/>
      <c r="I262" s="22"/>
      <c r="J262" s="27"/>
    </row>
    <row r="263" spans="1:10" x14ac:dyDescent="0.2">
      <c r="A263">
        <v>13</v>
      </c>
      <c r="B263" s="7" t="s">
        <v>58</v>
      </c>
      <c r="C263" t="s">
        <v>42</v>
      </c>
      <c r="D263" t="s">
        <v>108</v>
      </c>
      <c r="E263" t="s">
        <v>112</v>
      </c>
      <c r="F263" t="s">
        <v>125</v>
      </c>
      <c r="G263" t="s">
        <v>72</v>
      </c>
      <c r="J263" s="27"/>
    </row>
    <row r="264" spans="1:10" x14ac:dyDescent="0.2">
      <c r="A264">
        <v>13</v>
      </c>
      <c r="B264" s="7" t="s">
        <v>58</v>
      </c>
      <c r="C264" t="s">
        <v>42</v>
      </c>
      <c r="D264" t="s">
        <v>108</v>
      </c>
      <c r="E264" t="s">
        <v>113</v>
      </c>
      <c r="F264" t="s">
        <v>125</v>
      </c>
      <c r="G264" t="s">
        <v>72</v>
      </c>
      <c r="J264" s="27"/>
    </row>
    <row r="265" spans="1:10" x14ac:dyDescent="0.2">
      <c r="A265">
        <v>13</v>
      </c>
      <c r="B265" s="7" t="s">
        <v>58</v>
      </c>
      <c r="C265" t="s">
        <v>42</v>
      </c>
      <c r="D265" t="s">
        <v>108</v>
      </c>
      <c r="E265" t="s">
        <v>114</v>
      </c>
      <c r="F265" t="s">
        <v>125</v>
      </c>
      <c r="G265" t="s">
        <v>72</v>
      </c>
      <c r="J265" s="27"/>
    </row>
    <row r="266" spans="1:10" x14ac:dyDescent="0.2">
      <c r="A266">
        <v>13</v>
      </c>
      <c r="B266" s="7" t="s">
        <v>58</v>
      </c>
      <c r="C266" t="s">
        <v>42</v>
      </c>
      <c r="D266" t="s">
        <v>108</v>
      </c>
      <c r="E266" t="s">
        <v>115</v>
      </c>
      <c r="F266" t="s">
        <v>125</v>
      </c>
      <c r="G266" t="s">
        <v>72</v>
      </c>
      <c r="J266" s="27"/>
    </row>
    <row r="267" spans="1:10" x14ac:dyDescent="0.2">
      <c r="A267">
        <v>14</v>
      </c>
      <c r="B267" s="7" t="s">
        <v>58</v>
      </c>
      <c r="C267" s="4" t="s">
        <v>107</v>
      </c>
      <c r="D267" t="s">
        <v>126</v>
      </c>
      <c r="F267" t="s">
        <v>127</v>
      </c>
      <c r="G267" t="s">
        <v>13</v>
      </c>
      <c r="H267">
        <v>3817.38</v>
      </c>
      <c r="I267">
        <v>3136</v>
      </c>
      <c r="J267" s="27">
        <f t="shared" ref="J267:J294" si="9">H267/I267-1</f>
        <v>0.21727678571428566</v>
      </c>
    </row>
    <row r="268" spans="1:10" x14ac:dyDescent="0.2">
      <c r="A268">
        <v>14</v>
      </c>
      <c r="B268" s="7" t="s">
        <v>58</v>
      </c>
      <c r="C268" s="4" t="s">
        <v>119</v>
      </c>
      <c r="D268" t="s">
        <v>126</v>
      </c>
      <c r="F268" t="s">
        <v>127</v>
      </c>
      <c r="G268" t="s">
        <v>13</v>
      </c>
      <c r="H268">
        <v>11974.9</v>
      </c>
      <c r="I268">
        <v>10564.2</v>
      </c>
      <c r="J268" s="27">
        <f t="shared" si="9"/>
        <v>0.13353590428049444</v>
      </c>
    </row>
    <row r="269" spans="1:10" x14ac:dyDescent="0.2">
      <c r="A269">
        <v>14</v>
      </c>
      <c r="B269" s="7" t="s">
        <v>58</v>
      </c>
      <c r="C269" s="4" t="s">
        <v>117</v>
      </c>
      <c r="D269" t="s">
        <v>126</v>
      </c>
      <c r="F269" t="s">
        <v>127</v>
      </c>
      <c r="G269" t="s">
        <v>13</v>
      </c>
      <c r="H269">
        <v>4367.03</v>
      </c>
      <c r="I269">
        <v>3541.06</v>
      </c>
      <c r="J269" s="27">
        <f t="shared" si="9"/>
        <v>0.23325501403534532</v>
      </c>
    </row>
    <row r="270" spans="1:10" x14ac:dyDescent="0.2">
      <c r="A270">
        <v>14</v>
      </c>
      <c r="B270" s="7" t="s">
        <v>58</v>
      </c>
      <c r="C270" s="4" t="s">
        <v>43</v>
      </c>
      <c r="D270" t="s">
        <v>126</v>
      </c>
      <c r="F270" t="s">
        <v>127</v>
      </c>
      <c r="G270" t="s">
        <v>13</v>
      </c>
      <c r="H270">
        <v>725</v>
      </c>
      <c r="I270">
        <v>576.16</v>
      </c>
      <c r="J270" s="27">
        <f t="shared" si="9"/>
        <v>0.25833101916134416</v>
      </c>
    </row>
    <row r="271" spans="1:10" x14ac:dyDescent="0.2">
      <c r="A271">
        <v>14</v>
      </c>
      <c r="B271" s="7" t="s">
        <v>58</v>
      </c>
      <c r="C271" s="4" t="s">
        <v>40</v>
      </c>
      <c r="D271" t="s">
        <v>126</v>
      </c>
      <c r="F271" t="s">
        <v>127</v>
      </c>
      <c r="G271" t="s">
        <v>13</v>
      </c>
      <c r="H271">
        <v>1385.22</v>
      </c>
      <c r="I271">
        <v>996.77</v>
      </c>
      <c r="J271" s="27">
        <f t="shared" si="9"/>
        <v>0.38970875929251481</v>
      </c>
    </row>
    <row r="272" spans="1:10" x14ac:dyDescent="0.2">
      <c r="A272">
        <v>14</v>
      </c>
      <c r="B272" s="7" t="s">
        <v>58</v>
      </c>
      <c r="C272" s="4" t="s">
        <v>75</v>
      </c>
      <c r="D272" t="s">
        <v>126</v>
      </c>
      <c r="F272" t="s">
        <v>127</v>
      </c>
      <c r="G272" t="s">
        <v>13</v>
      </c>
      <c r="H272">
        <v>3.98</v>
      </c>
      <c r="I272" t="s">
        <v>50</v>
      </c>
      <c r="J272" s="27" t="e">
        <f t="shared" si="9"/>
        <v>#VALUE!</v>
      </c>
    </row>
    <row r="273" spans="1:10" x14ac:dyDescent="0.2">
      <c r="A273">
        <v>14</v>
      </c>
      <c r="B273" s="7" t="s">
        <v>58</v>
      </c>
      <c r="C273" s="4" t="s">
        <v>42</v>
      </c>
      <c r="D273" t="s">
        <v>126</v>
      </c>
      <c r="F273" t="s">
        <v>127</v>
      </c>
      <c r="G273" t="s">
        <v>13</v>
      </c>
      <c r="H273">
        <v>71.77</v>
      </c>
      <c r="I273">
        <v>2.38</v>
      </c>
      <c r="J273" s="27">
        <f t="shared" si="9"/>
        <v>29.155462184873951</v>
      </c>
    </row>
    <row r="274" spans="1:10" x14ac:dyDescent="0.2">
      <c r="A274">
        <v>14</v>
      </c>
      <c r="B274" s="7" t="s">
        <v>58</v>
      </c>
      <c r="C274" s="4" t="s">
        <v>107</v>
      </c>
      <c r="D274" t="s">
        <v>128</v>
      </c>
      <c r="E274" t="s">
        <v>129</v>
      </c>
      <c r="F274" t="s">
        <v>130</v>
      </c>
      <c r="G274" t="s">
        <v>13</v>
      </c>
      <c r="H274">
        <v>681.38000000000011</v>
      </c>
      <c r="I274" s="41">
        <v>550.90000000000009</v>
      </c>
      <c r="J274" s="27">
        <f t="shared" si="9"/>
        <v>0.236848792884371</v>
      </c>
    </row>
    <row r="275" spans="1:10" x14ac:dyDescent="0.2">
      <c r="A275">
        <v>14</v>
      </c>
      <c r="B275" s="7" t="s">
        <v>58</v>
      </c>
      <c r="C275" s="4" t="s">
        <v>119</v>
      </c>
      <c r="D275" t="s">
        <v>128</v>
      </c>
      <c r="E275" t="s">
        <v>129</v>
      </c>
      <c r="F275" t="s">
        <v>130</v>
      </c>
      <c r="G275" t="s">
        <v>13</v>
      </c>
      <c r="H275">
        <v>1410.6999999999989</v>
      </c>
      <c r="I275" s="41">
        <v>1130.429999999998</v>
      </c>
      <c r="J275" s="27">
        <f t="shared" si="9"/>
        <v>0.24793220279008987</v>
      </c>
    </row>
    <row r="276" spans="1:10" x14ac:dyDescent="0.2">
      <c r="A276">
        <v>14</v>
      </c>
      <c r="B276" s="7" t="s">
        <v>58</v>
      </c>
      <c r="C276" s="4" t="s">
        <v>117</v>
      </c>
      <c r="D276" t="s">
        <v>128</v>
      </c>
      <c r="E276" t="s">
        <v>129</v>
      </c>
      <c r="F276" t="s">
        <v>130</v>
      </c>
      <c r="G276" t="s">
        <v>13</v>
      </c>
      <c r="H276">
        <v>825.9699999999998</v>
      </c>
      <c r="I276" s="41">
        <v>892.69999999999982</v>
      </c>
      <c r="J276" s="27">
        <f t="shared" si="9"/>
        <v>-7.4750756133079466E-2</v>
      </c>
    </row>
    <row r="277" spans="1:10" x14ac:dyDescent="0.2">
      <c r="A277">
        <v>14</v>
      </c>
      <c r="B277" s="7" t="s">
        <v>58</v>
      </c>
      <c r="C277" s="4" t="s">
        <v>43</v>
      </c>
      <c r="D277" t="s">
        <v>128</v>
      </c>
      <c r="E277" t="s">
        <v>129</v>
      </c>
      <c r="F277" t="s">
        <v>130</v>
      </c>
      <c r="G277" t="s">
        <v>13</v>
      </c>
      <c r="H277">
        <v>148.84</v>
      </c>
      <c r="I277" s="41">
        <v>69.859999999999957</v>
      </c>
      <c r="J277" s="27">
        <f t="shared" si="9"/>
        <v>1.1305468079015188</v>
      </c>
    </row>
    <row r="278" spans="1:10" x14ac:dyDescent="0.2">
      <c r="A278">
        <v>14</v>
      </c>
      <c r="B278" s="7" t="s">
        <v>58</v>
      </c>
      <c r="C278" s="4" t="s">
        <v>40</v>
      </c>
      <c r="D278" t="s">
        <v>128</v>
      </c>
      <c r="E278" t="s">
        <v>129</v>
      </c>
      <c r="F278" t="s">
        <v>130</v>
      </c>
      <c r="G278" t="s">
        <v>13</v>
      </c>
      <c r="H278">
        <v>388.45</v>
      </c>
      <c r="I278" s="41">
        <v>264.26</v>
      </c>
      <c r="J278" s="27">
        <f t="shared" si="9"/>
        <v>0.4699538333459472</v>
      </c>
    </row>
    <row r="279" spans="1:10" x14ac:dyDescent="0.2">
      <c r="A279">
        <v>14</v>
      </c>
      <c r="B279" s="7" t="s">
        <v>58</v>
      </c>
      <c r="C279" s="4" t="s">
        <v>75</v>
      </c>
      <c r="D279" t="s">
        <v>128</v>
      </c>
      <c r="E279" t="s">
        <v>129</v>
      </c>
      <c r="F279" t="s">
        <v>130</v>
      </c>
      <c r="G279" t="s">
        <v>13</v>
      </c>
      <c r="H279" t="e">
        <v>#VALUE!</v>
      </c>
      <c r="I279" s="41">
        <v>0.65</v>
      </c>
      <c r="J279" s="27" t="e">
        <f t="shared" si="9"/>
        <v>#VALUE!</v>
      </c>
    </row>
    <row r="280" spans="1:10" x14ac:dyDescent="0.2">
      <c r="A280">
        <v>14</v>
      </c>
      <c r="B280" s="7" t="s">
        <v>58</v>
      </c>
      <c r="C280" s="4" t="s">
        <v>42</v>
      </c>
      <c r="D280" t="s">
        <v>128</v>
      </c>
      <c r="E280" t="s">
        <v>129</v>
      </c>
      <c r="F280" t="s">
        <v>130</v>
      </c>
      <c r="G280" t="s">
        <v>13</v>
      </c>
      <c r="H280">
        <v>69.39</v>
      </c>
      <c r="I280" s="41">
        <v>2.38</v>
      </c>
      <c r="J280" s="27">
        <f t="shared" si="9"/>
        <v>28.155462184873951</v>
      </c>
    </row>
    <row r="281" spans="1:10" x14ac:dyDescent="0.2">
      <c r="A281">
        <v>15</v>
      </c>
      <c r="B281" s="7" t="s">
        <v>58</v>
      </c>
      <c r="C281" s="4" t="s">
        <v>107</v>
      </c>
      <c r="D281" t="s">
        <v>131</v>
      </c>
      <c r="E281" t="s">
        <v>132</v>
      </c>
      <c r="F281" t="s">
        <v>133</v>
      </c>
      <c r="G281" t="s">
        <v>66</v>
      </c>
      <c r="H281" s="24">
        <v>23385.45713010562</v>
      </c>
      <c r="I281" s="24">
        <v>23789.54318576018</v>
      </c>
      <c r="J281" s="27">
        <f t="shared" si="9"/>
        <v>-1.6985868644019853E-2</v>
      </c>
    </row>
    <row r="282" spans="1:10" x14ac:dyDescent="0.2">
      <c r="A282">
        <v>15</v>
      </c>
      <c r="B282" s="7" t="s">
        <v>58</v>
      </c>
      <c r="C282" s="4" t="s">
        <v>119</v>
      </c>
      <c r="D282" t="s">
        <v>131</v>
      </c>
      <c r="E282" t="s">
        <v>132</v>
      </c>
      <c r="F282" t="s">
        <v>134</v>
      </c>
      <c r="G282" t="s">
        <v>79</v>
      </c>
      <c r="H282" s="24">
        <v>18650.972487436131</v>
      </c>
      <c r="I282" s="24">
        <v>17177.688969578889</v>
      </c>
      <c r="J282" s="27">
        <f t="shared" si="9"/>
        <v>8.576727174804355E-2</v>
      </c>
    </row>
    <row r="283" spans="1:10" x14ac:dyDescent="0.2">
      <c r="A283">
        <v>15</v>
      </c>
      <c r="B283" s="7" t="s">
        <v>58</v>
      </c>
      <c r="C283" s="4" t="s">
        <v>117</v>
      </c>
      <c r="D283" t="s">
        <v>131</v>
      </c>
      <c r="E283" t="s">
        <v>132</v>
      </c>
      <c r="F283" t="s">
        <v>135</v>
      </c>
      <c r="G283" t="s">
        <v>70</v>
      </c>
      <c r="H283" s="24">
        <v>22834.809992945418</v>
      </c>
      <c r="I283" s="24">
        <v>23277.07041203661</v>
      </c>
      <c r="J283" s="27">
        <f t="shared" si="9"/>
        <v>-1.8999831648165544E-2</v>
      </c>
    </row>
    <row r="284" spans="1:10" x14ac:dyDescent="0.2">
      <c r="A284">
        <v>15</v>
      </c>
      <c r="B284" s="7" t="s">
        <v>58</v>
      </c>
      <c r="C284" s="4" t="s">
        <v>43</v>
      </c>
      <c r="D284" t="s">
        <v>131</v>
      </c>
      <c r="E284" t="s">
        <v>132</v>
      </c>
      <c r="F284" t="s">
        <v>136</v>
      </c>
      <c r="G284" t="s">
        <v>74</v>
      </c>
      <c r="H284" s="24">
        <v>27191.61324514851</v>
      </c>
      <c r="I284" s="24">
        <v>27565.15911684266</v>
      </c>
      <c r="J284" s="27">
        <f t="shared" si="9"/>
        <v>-1.355137730606859E-2</v>
      </c>
    </row>
    <row r="285" spans="1:10" x14ac:dyDescent="0.2">
      <c r="A285">
        <v>15</v>
      </c>
      <c r="B285" s="7" t="s">
        <v>58</v>
      </c>
      <c r="C285" s="4" t="s">
        <v>40</v>
      </c>
      <c r="D285" t="s">
        <v>131</v>
      </c>
      <c r="E285" t="s">
        <v>132</v>
      </c>
      <c r="F285" t="s">
        <v>137</v>
      </c>
      <c r="G285" t="s">
        <v>68</v>
      </c>
      <c r="H285" s="24">
        <v>21430.806428673019</v>
      </c>
      <c r="I285" s="24">
        <v>22557.609340176248</v>
      </c>
      <c r="J285" s="27">
        <f t="shared" si="9"/>
        <v>-4.9952230952787002E-2</v>
      </c>
    </row>
    <row r="286" spans="1:10" x14ac:dyDescent="0.2">
      <c r="A286">
        <v>15</v>
      </c>
      <c r="B286" s="7" t="s">
        <v>58</v>
      </c>
      <c r="C286" s="4" t="s">
        <v>75</v>
      </c>
      <c r="D286" t="s">
        <v>131</v>
      </c>
      <c r="E286" t="s">
        <v>132</v>
      </c>
      <c r="F286" t="s">
        <v>138</v>
      </c>
      <c r="G286" t="s">
        <v>77</v>
      </c>
      <c r="H286" s="24"/>
      <c r="I286" s="24"/>
      <c r="J286" s="27" t="e">
        <f t="shared" si="9"/>
        <v>#DIV/0!</v>
      </c>
    </row>
    <row r="287" spans="1:10" x14ac:dyDescent="0.2">
      <c r="A287">
        <v>15</v>
      </c>
      <c r="B287" s="7" t="s">
        <v>58</v>
      </c>
      <c r="C287" s="4" t="s">
        <v>42</v>
      </c>
      <c r="D287" t="s">
        <v>131</v>
      </c>
      <c r="E287" t="s">
        <v>132</v>
      </c>
      <c r="F287" t="s">
        <v>139</v>
      </c>
      <c r="G287" t="s">
        <v>72</v>
      </c>
      <c r="H287" s="24">
        <v>15450.327455919391</v>
      </c>
      <c r="I287" s="24">
        <v>17556.832694763729</v>
      </c>
      <c r="J287" s="27">
        <f t="shared" si="9"/>
        <v>-0.1199820762359145</v>
      </c>
    </row>
    <row r="288" spans="1:10" x14ac:dyDescent="0.2">
      <c r="A288">
        <v>15</v>
      </c>
      <c r="B288" s="7" t="s">
        <v>58</v>
      </c>
      <c r="C288" s="4" t="s">
        <v>107</v>
      </c>
      <c r="D288" t="s">
        <v>140</v>
      </c>
      <c r="E288" s="7" t="s">
        <v>141</v>
      </c>
      <c r="F288" t="s">
        <v>142</v>
      </c>
      <c r="G288" t="s">
        <v>66</v>
      </c>
      <c r="H288" s="25">
        <v>0.75517103331702329</v>
      </c>
      <c r="I288" s="25">
        <v>0.80622010956204171</v>
      </c>
      <c r="J288" s="27">
        <f t="shared" si="9"/>
        <v>-6.3319031167244799E-2</v>
      </c>
    </row>
    <row r="289" spans="1:10" x14ac:dyDescent="0.2">
      <c r="A289">
        <v>15</v>
      </c>
      <c r="B289" s="7" t="s">
        <v>58</v>
      </c>
      <c r="C289" s="4" t="s">
        <v>119</v>
      </c>
      <c r="D289" t="s">
        <v>140</v>
      </c>
      <c r="E289" s="7" t="s">
        <v>141</v>
      </c>
      <c r="F289" t="s">
        <v>143</v>
      </c>
      <c r="G289" t="s">
        <v>79</v>
      </c>
      <c r="H289" s="25">
        <v>1.2961782155722421</v>
      </c>
      <c r="I289" s="25">
        <v>1.22355892754587</v>
      </c>
      <c r="J289" s="27">
        <f t="shared" si="9"/>
        <v>5.9350870964610447E-2</v>
      </c>
    </row>
    <row r="290" spans="1:10" x14ac:dyDescent="0.2">
      <c r="A290">
        <v>15</v>
      </c>
      <c r="B290" s="7" t="s">
        <v>58</v>
      </c>
      <c r="C290" s="4" t="s">
        <v>117</v>
      </c>
      <c r="D290" t="s">
        <v>140</v>
      </c>
      <c r="E290" s="7" t="s">
        <v>141</v>
      </c>
      <c r="F290" t="s">
        <v>144</v>
      </c>
      <c r="G290" t="s">
        <v>70</v>
      </c>
      <c r="H290" s="25">
        <v>0.69690286485001374</v>
      </c>
      <c r="I290" s="25">
        <v>0.66164320465210003</v>
      </c>
      <c r="J290" s="27">
        <f t="shared" si="9"/>
        <v>5.3291048634669602E-2</v>
      </c>
    </row>
    <row r="291" spans="1:10" x14ac:dyDescent="0.2">
      <c r="A291">
        <v>15</v>
      </c>
      <c r="B291" s="7" t="s">
        <v>58</v>
      </c>
      <c r="C291" s="4" t="s">
        <v>43</v>
      </c>
      <c r="D291" t="s">
        <v>140</v>
      </c>
      <c r="E291" s="7" t="s">
        <v>141</v>
      </c>
      <c r="F291" t="s">
        <v>145</v>
      </c>
      <c r="G291" t="s">
        <v>74</v>
      </c>
      <c r="H291" s="25">
        <v>0.37265436889339942</v>
      </c>
      <c r="I291" s="25">
        <v>0.3840030278180786</v>
      </c>
      <c r="J291" s="27">
        <f t="shared" si="9"/>
        <v>-2.955356625483585E-2</v>
      </c>
    </row>
    <row r="292" spans="1:10" x14ac:dyDescent="0.2">
      <c r="A292">
        <v>15</v>
      </c>
      <c r="B292" s="7" t="s">
        <v>58</v>
      </c>
      <c r="C292" s="4" t="s">
        <v>40</v>
      </c>
      <c r="D292" t="s">
        <v>140</v>
      </c>
      <c r="E292" s="7" t="s">
        <v>141</v>
      </c>
      <c r="F292" t="s">
        <v>146</v>
      </c>
      <c r="G292" t="s">
        <v>68</v>
      </c>
      <c r="H292" s="25">
        <v>0.32234759116413819</v>
      </c>
      <c r="I292" s="25">
        <v>0.32827482574185252</v>
      </c>
      <c r="J292" s="27">
        <f t="shared" si="9"/>
        <v>-1.8055708549443716E-2</v>
      </c>
    </row>
    <row r="293" spans="1:10" x14ac:dyDescent="0.2">
      <c r="A293">
        <v>15</v>
      </c>
      <c r="B293" s="7" t="s">
        <v>58</v>
      </c>
      <c r="C293" s="4" t="s">
        <v>75</v>
      </c>
      <c r="D293" t="s">
        <v>140</v>
      </c>
      <c r="E293" s="7" t="s">
        <v>141</v>
      </c>
      <c r="F293" t="s">
        <v>147</v>
      </c>
      <c r="G293" t="s">
        <v>77</v>
      </c>
      <c r="H293" s="25"/>
      <c r="I293" s="25"/>
      <c r="J293" s="27" t="e">
        <f t="shared" si="9"/>
        <v>#DIV/0!</v>
      </c>
    </row>
    <row r="294" spans="1:10" x14ac:dyDescent="0.2">
      <c r="A294">
        <v>15</v>
      </c>
      <c r="B294" s="7" t="s">
        <v>58</v>
      </c>
      <c r="C294" s="4" t="s">
        <v>42</v>
      </c>
      <c r="D294" t="s">
        <v>140</v>
      </c>
      <c r="E294" s="7" t="s">
        <v>141</v>
      </c>
      <c r="F294" t="s">
        <v>148</v>
      </c>
      <c r="G294" t="s">
        <v>72</v>
      </c>
      <c r="H294" s="25">
        <v>0.28716198501872658</v>
      </c>
      <c r="I294" s="25">
        <v>5.6805785123966938E-2</v>
      </c>
      <c r="J294" s="27">
        <f t="shared" si="9"/>
        <v>4.055153878994096</v>
      </c>
    </row>
    <row r="295" spans="1:10" x14ac:dyDescent="0.2">
      <c r="A295" s="9">
        <v>16</v>
      </c>
      <c r="B295" s="11" t="s">
        <v>58</v>
      </c>
      <c r="C295" s="10" t="s">
        <v>107</v>
      </c>
      <c r="D295" s="9" t="s">
        <v>149</v>
      </c>
      <c r="E295" s="11"/>
      <c r="F295" t="s">
        <v>150</v>
      </c>
      <c r="G295" t="s">
        <v>66</v>
      </c>
      <c r="H295" s="26"/>
      <c r="I295" s="26"/>
      <c r="J295" s="27"/>
    </row>
    <row r="296" spans="1:10" x14ac:dyDescent="0.2">
      <c r="A296" s="9">
        <v>16</v>
      </c>
      <c r="B296" s="11" t="s">
        <v>58</v>
      </c>
      <c r="C296" s="10" t="s">
        <v>107</v>
      </c>
      <c r="D296" s="9" t="s">
        <v>151</v>
      </c>
      <c r="E296" s="11"/>
      <c r="F296" t="s">
        <v>150</v>
      </c>
      <c r="G296" t="s">
        <v>66</v>
      </c>
      <c r="H296" s="26"/>
      <c r="I296" s="26"/>
      <c r="J296" s="27"/>
    </row>
    <row r="297" spans="1:10" x14ac:dyDescent="0.2">
      <c r="A297" s="9">
        <v>16</v>
      </c>
      <c r="B297" s="11" t="s">
        <v>58</v>
      </c>
      <c r="C297" s="10" t="s">
        <v>107</v>
      </c>
      <c r="D297" s="9" t="s">
        <v>152</v>
      </c>
      <c r="E297" s="11"/>
      <c r="F297" t="s">
        <v>150</v>
      </c>
      <c r="G297" t="s">
        <v>66</v>
      </c>
      <c r="H297" s="26"/>
      <c r="I297" s="26"/>
      <c r="J297" s="27"/>
    </row>
    <row r="298" spans="1:10" x14ac:dyDescent="0.2">
      <c r="A298" s="9">
        <v>16</v>
      </c>
      <c r="B298" s="11" t="s">
        <v>58</v>
      </c>
      <c r="C298" s="10" t="s">
        <v>107</v>
      </c>
      <c r="D298" s="9" t="s">
        <v>153</v>
      </c>
      <c r="E298" s="11"/>
      <c r="F298" t="s">
        <v>150</v>
      </c>
      <c r="G298" t="s">
        <v>66</v>
      </c>
      <c r="H298" s="26"/>
      <c r="I298" s="26"/>
      <c r="J298" s="27"/>
    </row>
    <row r="299" spans="1:10" x14ac:dyDescent="0.2">
      <c r="A299" s="9">
        <v>16</v>
      </c>
      <c r="B299" s="11" t="s">
        <v>58</v>
      </c>
      <c r="C299" s="10" t="s">
        <v>107</v>
      </c>
      <c r="D299" s="9" t="s">
        <v>154</v>
      </c>
      <c r="E299" s="11"/>
      <c r="F299" t="s">
        <v>150</v>
      </c>
      <c r="G299" t="s">
        <v>66</v>
      </c>
      <c r="H299" s="26"/>
      <c r="I299" s="26"/>
      <c r="J299" s="27"/>
    </row>
    <row r="300" spans="1:10" x14ac:dyDescent="0.2">
      <c r="A300" s="9">
        <v>16</v>
      </c>
      <c r="B300" s="11" t="s">
        <v>58</v>
      </c>
      <c r="C300" s="10" t="s">
        <v>119</v>
      </c>
      <c r="D300" s="9" t="s">
        <v>149</v>
      </c>
      <c r="E300" s="11"/>
      <c r="F300" t="s">
        <v>155</v>
      </c>
      <c r="G300" t="s">
        <v>79</v>
      </c>
      <c r="H300" s="26"/>
      <c r="I300" s="26"/>
      <c r="J300" s="27"/>
    </row>
    <row r="301" spans="1:10" x14ac:dyDescent="0.2">
      <c r="A301" s="9">
        <v>16</v>
      </c>
      <c r="B301" s="11" t="s">
        <v>58</v>
      </c>
      <c r="C301" s="10" t="s">
        <v>119</v>
      </c>
      <c r="D301" s="9" t="s">
        <v>151</v>
      </c>
      <c r="E301" s="11"/>
      <c r="F301" t="s">
        <v>155</v>
      </c>
      <c r="G301" t="s">
        <v>79</v>
      </c>
      <c r="H301" s="26"/>
      <c r="I301" s="26"/>
      <c r="J301" s="27"/>
    </row>
    <row r="302" spans="1:10" x14ac:dyDescent="0.2">
      <c r="A302" s="9">
        <v>16</v>
      </c>
      <c r="B302" s="11" t="s">
        <v>58</v>
      </c>
      <c r="C302" s="10" t="s">
        <v>119</v>
      </c>
      <c r="D302" s="9" t="s">
        <v>152</v>
      </c>
      <c r="E302" s="11"/>
      <c r="F302" t="s">
        <v>155</v>
      </c>
      <c r="G302" t="s">
        <v>79</v>
      </c>
      <c r="H302" s="26"/>
      <c r="I302" s="26"/>
      <c r="J302" s="27"/>
    </row>
    <row r="303" spans="1:10" x14ac:dyDescent="0.2">
      <c r="A303" s="9">
        <v>16</v>
      </c>
      <c r="B303" s="11" t="s">
        <v>58</v>
      </c>
      <c r="C303" s="10" t="s">
        <v>119</v>
      </c>
      <c r="D303" s="9" t="s">
        <v>153</v>
      </c>
      <c r="E303" s="11"/>
      <c r="F303" t="s">
        <v>155</v>
      </c>
      <c r="G303" t="s">
        <v>79</v>
      </c>
      <c r="H303" s="26"/>
      <c r="I303" s="26"/>
      <c r="J303" s="27"/>
    </row>
    <row r="304" spans="1:10" x14ac:dyDescent="0.2">
      <c r="A304" s="9">
        <v>16</v>
      </c>
      <c r="B304" s="11" t="s">
        <v>58</v>
      </c>
      <c r="C304" s="10" t="s">
        <v>119</v>
      </c>
      <c r="D304" s="9" t="s">
        <v>154</v>
      </c>
      <c r="E304" s="11"/>
      <c r="F304" t="s">
        <v>155</v>
      </c>
      <c r="G304" t="s">
        <v>79</v>
      </c>
      <c r="H304" s="26"/>
      <c r="I304" s="26"/>
      <c r="J304" s="27"/>
    </row>
    <row r="305" spans="1:10" x14ac:dyDescent="0.2">
      <c r="A305" s="9">
        <v>16</v>
      </c>
      <c r="B305" s="11" t="s">
        <v>58</v>
      </c>
      <c r="C305" s="10" t="s">
        <v>117</v>
      </c>
      <c r="D305" s="9" t="s">
        <v>149</v>
      </c>
      <c r="E305" s="11"/>
      <c r="F305" t="s">
        <v>156</v>
      </c>
      <c r="G305" t="s">
        <v>70</v>
      </c>
      <c r="H305" s="26"/>
      <c r="I305" s="26"/>
      <c r="J305" s="27"/>
    </row>
    <row r="306" spans="1:10" x14ac:dyDescent="0.2">
      <c r="A306" s="9">
        <v>16</v>
      </c>
      <c r="B306" s="11" t="s">
        <v>58</v>
      </c>
      <c r="C306" s="10" t="s">
        <v>117</v>
      </c>
      <c r="D306" s="9" t="s">
        <v>151</v>
      </c>
      <c r="E306" s="11"/>
      <c r="F306" t="s">
        <v>156</v>
      </c>
      <c r="G306" t="s">
        <v>70</v>
      </c>
      <c r="H306" s="26"/>
      <c r="I306" s="26"/>
      <c r="J306" s="27"/>
    </row>
    <row r="307" spans="1:10" x14ac:dyDescent="0.2">
      <c r="A307" s="9">
        <v>16</v>
      </c>
      <c r="B307" s="11" t="s">
        <v>58</v>
      </c>
      <c r="C307" s="10" t="s">
        <v>117</v>
      </c>
      <c r="D307" s="9" t="s">
        <v>152</v>
      </c>
      <c r="E307" s="11"/>
      <c r="F307" t="s">
        <v>156</v>
      </c>
      <c r="G307" t="s">
        <v>70</v>
      </c>
      <c r="H307" s="26"/>
      <c r="I307" s="26"/>
      <c r="J307" s="27"/>
    </row>
    <row r="308" spans="1:10" x14ac:dyDescent="0.2">
      <c r="A308" s="9">
        <v>16</v>
      </c>
      <c r="B308" s="11" t="s">
        <v>58</v>
      </c>
      <c r="C308" s="10" t="s">
        <v>117</v>
      </c>
      <c r="D308" s="9" t="s">
        <v>153</v>
      </c>
      <c r="E308" s="11"/>
      <c r="F308" t="s">
        <v>156</v>
      </c>
      <c r="G308" t="s">
        <v>70</v>
      </c>
      <c r="H308" s="26"/>
      <c r="I308" s="26"/>
      <c r="J308" s="27"/>
    </row>
    <row r="309" spans="1:10" x14ac:dyDescent="0.2">
      <c r="A309" s="9">
        <v>16</v>
      </c>
      <c r="B309" s="11" t="s">
        <v>58</v>
      </c>
      <c r="C309" s="10" t="s">
        <v>117</v>
      </c>
      <c r="D309" s="9" t="s">
        <v>154</v>
      </c>
      <c r="E309" s="11"/>
      <c r="F309" t="s">
        <v>156</v>
      </c>
      <c r="G309" t="s">
        <v>70</v>
      </c>
      <c r="H309" s="26"/>
      <c r="I309" s="26"/>
      <c r="J309" s="27"/>
    </row>
    <row r="310" spans="1:10" x14ac:dyDescent="0.2">
      <c r="A310" s="9">
        <v>16</v>
      </c>
      <c r="B310" s="11" t="s">
        <v>58</v>
      </c>
      <c r="C310" s="10" t="s">
        <v>43</v>
      </c>
      <c r="D310" s="9" t="s">
        <v>149</v>
      </c>
      <c r="E310" s="11"/>
      <c r="F310" t="s">
        <v>157</v>
      </c>
      <c r="G310" t="s">
        <v>74</v>
      </c>
      <c r="H310" s="26"/>
      <c r="I310" s="26"/>
      <c r="J310" s="27"/>
    </row>
    <row r="311" spans="1:10" x14ac:dyDescent="0.2">
      <c r="A311" s="9">
        <v>16</v>
      </c>
      <c r="B311" s="11" t="s">
        <v>58</v>
      </c>
      <c r="C311" s="10" t="s">
        <v>43</v>
      </c>
      <c r="D311" s="9" t="s">
        <v>151</v>
      </c>
      <c r="E311" s="11"/>
      <c r="F311" t="s">
        <v>157</v>
      </c>
      <c r="G311" t="s">
        <v>74</v>
      </c>
      <c r="H311" s="26"/>
      <c r="I311" s="26"/>
      <c r="J311" s="27"/>
    </row>
    <row r="312" spans="1:10" x14ac:dyDescent="0.2">
      <c r="A312" s="9">
        <v>16</v>
      </c>
      <c r="B312" s="11" t="s">
        <v>58</v>
      </c>
      <c r="C312" s="10" t="s">
        <v>43</v>
      </c>
      <c r="D312" s="9" t="s">
        <v>152</v>
      </c>
      <c r="E312" s="11"/>
      <c r="F312" t="s">
        <v>157</v>
      </c>
      <c r="G312" t="s">
        <v>74</v>
      </c>
      <c r="H312" s="26"/>
      <c r="I312" s="26"/>
      <c r="J312" s="27"/>
    </row>
    <row r="313" spans="1:10" x14ac:dyDescent="0.2">
      <c r="A313" s="9">
        <v>16</v>
      </c>
      <c r="B313" s="11" t="s">
        <v>58</v>
      </c>
      <c r="C313" s="10" t="s">
        <v>43</v>
      </c>
      <c r="D313" s="9" t="s">
        <v>153</v>
      </c>
      <c r="E313" s="11"/>
      <c r="F313" t="s">
        <v>157</v>
      </c>
      <c r="G313" t="s">
        <v>74</v>
      </c>
      <c r="H313" s="26"/>
      <c r="I313" s="26"/>
      <c r="J313" s="27"/>
    </row>
    <row r="314" spans="1:10" x14ac:dyDescent="0.2">
      <c r="A314" s="9">
        <v>16</v>
      </c>
      <c r="B314" s="11" t="s">
        <v>58</v>
      </c>
      <c r="C314" s="10" t="s">
        <v>43</v>
      </c>
      <c r="D314" s="9" t="s">
        <v>154</v>
      </c>
      <c r="E314" s="11"/>
      <c r="F314" t="s">
        <v>157</v>
      </c>
      <c r="G314" t="s">
        <v>74</v>
      </c>
      <c r="H314" s="26"/>
      <c r="I314" s="26"/>
      <c r="J314" s="27"/>
    </row>
    <row r="315" spans="1:10" x14ac:dyDescent="0.2">
      <c r="A315" s="9">
        <v>16</v>
      </c>
      <c r="B315" s="11" t="s">
        <v>58</v>
      </c>
      <c r="C315" s="10" t="s">
        <v>40</v>
      </c>
      <c r="D315" s="9" t="s">
        <v>149</v>
      </c>
      <c r="E315" s="11"/>
      <c r="F315" t="s">
        <v>158</v>
      </c>
      <c r="G315" t="s">
        <v>68</v>
      </c>
      <c r="H315" s="26"/>
      <c r="I315" s="26"/>
      <c r="J315" s="27"/>
    </row>
    <row r="316" spans="1:10" x14ac:dyDescent="0.2">
      <c r="A316" s="9">
        <v>16</v>
      </c>
      <c r="B316" s="11" t="s">
        <v>58</v>
      </c>
      <c r="C316" s="10" t="s">
        <v>40</v>
      </c>
      <c r="D316" s="9" t="s">
        <v>151</v>
      </c>
      <c r="E316" s="11"/>
      <c r="F316" t="s">
        <v>158</v>
      </c>
      <c r="G316" t="s">
        <v>68</v>
      </c>
      <c r="H316" s="26"/>
      <c r="I316" s="26"/>
      <c r="J316" s="27"/>
    </row>
    <row r="317" spans="1:10" x14ac:dyDescent="0.2">
      <c r="A317" s="9">
        <v>16</v>
      </c>
      <c r="B317" s="11" t="s">
        <v>58</v>
      </c>
      <c r="C317" s="10" t="s">
        <v>40</v>
      </c>
      <c r="D317" s="9" t="s">
        <v>152</v>
      </c>
      <c r="E317" s="11"/>
      <c r="F317" t="s">
        <v>158</v>
      </c>
      <c r="G317" t="s">
        <v>68</v>
      </c>
      <c r="H317" s="26"/>
      <c r="I317" s="26"/>
      <c r="J317" s="27"/>
    </row>
    <row r="318" spans="1:10" x14ac:dyDescent="0.2">
      <c r="A318" s="9">
        <v>16</v>
      </c>
      <c r="B318" s="11" t="s">
        <v>58</v>
      </c>
      <c r="C318" s="10" t="s">
        <v>40</v>
      </c>
      <c r="D318" s="9" t="s">
        <v>153</v>
      </c>
      <c r="E318" s="11"/>
      <c r="F318" t="s">
        <v>158</v>
      </c>
      <c r="G318" t="s">
        <v>68</v>
      </c>
      <c r="H318" s="26"/>
      <c r="I318" s="26"/>
      <c r="J318" s="27"/>
    </row>
    <row r="319" spans="1:10" x14ac:dyDescent="0.2">
      <c r="A319" s="9">
        <v>16</v>
      </c>
      <c r="B319" s="11" t="s">
        <v>58</v>
      </c>
      <c r="C319" s="10" t="s">
        <v>40</v>
      </c>
      <c r="D319" s="9" t="s">
        <v>154</v>
      </c>
      <c r="E319" s="11"/>
      <c r="F319" t="s">
        <v>158</v>
      </c>
      <c r="G319" t="s">
        <v>68</v>
      </c>
      <c r="H319" s="26"/>
      <c r="I319" s="26"/>
      <c r="J319" s="27"/>
    </row>
    <row r="320" spans="1:10" x14ac:dyDescent="0.2">
      <c r="A320" s="9">
        <v>16</v>
      </c>
      <c r="B320" s="11" t="s">
        <v>58</v>
      </c>
      <c r="C320" s="10" t="s">
        <v>75</v>
      </c>
      <c r="D320" s="9" t="s">
        <v>149</v>
      </c>
      <c r="E320" s="11"/>
      <c r="F320" t="s">
        <v>159</v>
      </c>
      <c r="G320" t="s">
        <v>77</v>
      </c>
      <c r="H320" s="26"/>
      <c r="I320" s="26"/>
      <c r="J320" s="27"/>
    </row>
    <row r="321" spans="1:10" x14ac:dyDescent="0.2">
      <c r="A321" s="9">
        <v>16</v>
      </c>
      <c r="B321" s="11" t="s">
        <v>58</v>
      </c>
      <c r="C321" s="10" t="s">
        <v>75</v>
      </c>
      <c r="D321" s="9" t="s">
        <v>151</v>
      </c>
      <c r="E321" s="11"/>
      <c r="F321" t="s">
        <v>159</v>
      </c>
      <c r="G321" t="s">
        <v>77</v>
      </c>
      <c r="H321" s="26"/>
      <c r="I321" s="26"/>
      <c r="J321" s="27"/>
    </row>
    <row r="322" spans="1:10" x14ac:dyDescent="0.2">
      <c r="A322" s="9">
        <v>16</v>
      </c>
      <c r="B322" s="11" t="s">
        <v>58</v>
      </c>
      <c r="C322" s="10" t="s">
        <v>75</v>
      </c>
      <c r="D322" s="9" t="s">
        <v>152</v>
      </c>
      <c r="E322" s="11"/>
      <c r="F322" t="s">
        <v>159</v>
      </c>
      <c r="G322" t="s">
        <v>77</v>
      </c>
      <c r="H322" s="26"/>
      <c r="I322" s="26"/>
      <c r="J322" s="27"/>
    </row>
    <row r="323" spans="1:10" x14ac:dyDescent="0.2">
      <c r="A323" s="9">
        <v>16</v>
      </c>
      <c r="B323" s="11" t="s">
        <v>58</v>
      </c>
      <c r="C323" s="10" t="s">
        <v>75</v>
      </c>
      <c r="D323" s="9" t="s">
        <v>153</v>
      </c>
      <c r="E323" s="11"/>
      <c r="F323" t="s">
        <v>159</v>
      </c>
      <c r="G323" t="s">
        <v>77</v>
      </c>
      <c r="H323" s="26"/>
      <c r="I323" s="26"/>
      <c r="J323" s="27"/>
    </row>
    <row r="324" spans="1:10" x14ac:dyDescent="0.2">
      <c r="A324" s="9">
        <v>16</v>
      </c>
      <c r="B324" s="11" t="s">
        <v>58</v>
      </c>
      <c r="C324" s="10" t="s">
        <v>75</v>
      </c>
      <c r="D324" s="9" t="s">
        <v>154</v>
      </c>
      <c r="E324" s="11"/>
      <c r="F324" t="s">
        <v>159</v>
      </c>
      <c r="G324" t="s">
        <v>77</v>
      </c>
      <c r="H324" s="26"/>
      <c r="I324" s="26"/>
      <c r="J324" s="27"/>
    </row>
    <row r="325" spans="1:10" x14ac:dyDescent="0.2">
      <c r="A325" s="9">
        <v>16</v>
      </c>
      <c r="B325" s="11" t="s">
        <v>58</v>
      </c>
      <c r="C325" s="10" t="s">
        <v>42</v>
      </c>
      <c r="D325" s="9" t="s">
        <v>149</v>
      </c>
      <c r="E325" s="11"/>
      <c r="F325" t="s">
        <v>160</v>
      </c>
      <c r="G325" t="s">
        <v>72</v>
      </c>
      <c r="H325" s="26"/>
      <c r="I325" s="26"/>
      <c r="J325" s="27"/>
    </row>
    <row r="326" spans="1:10" x14ac:dyDescent="0.2">
      <c r="A326" s="9">
        <v>16</v>
      </c>
      <c r="B326" s="11" t="s">
        <v>58</v>
      </c>
      <c r="C326" s="10" t="s">
        <v>42</v>
      </c>
      <c r="D326" s="9" t="s">
        <v>151</v>
      </c>
      <c r="E326" s="11"/>
      <c r="F326" t="s">
        <v>160</v>
      </c>
      <c r="G326" t="s">
        <v>72</v>
      </c>
      <c r="H326" s="26"/>
      <c r="I326" s="26"/>
      <c r="J326" s="27"/>
    </row>
    <row r="327" spans="1:10" x14ac:dyDescent="0.2">
      <c r="A327" s="9">
        <v>16</v>
      </c>
      <c r="B327" s="11" t="s">
        <v>58</v>
      </c>
      <c r="C327" s="10" t="s">
        <v>42</v>
      </c>
      <c r="D327" s="9" t="s">
        <v>152</v>
      </c>
      <c r="E327" s="11"/>
      <c r="F327" t="s">
        <v>160</v>
      </c>
      <c r="G327" t="s">
        <v>72</v>
      </c>
      <c r="H327" s="26"/>
      <c r="I327" s="26"/>
      <c r="J327" s="27"/>
    </row>
    <row r="328" spans="1:10" x14ac:dyDescent="0.2">
      <c r="A328" s="9">
        <v>16</v>
      </c>
      <c r="B328" s="11" t="s">
        <v>58</v>
      </c>
      <c r="C328" s="10" t="s">
        <v>42</v>
      </c>
      <c r="D328" s="9" t="s">
        <v>153</v>
      </c>
      <c r="E328" s="11"/>
      <c r="F328" t="s">
        <v>160</v>
      </c>
      <c r="G328" t="s">
        <v>72</v>
      </c>
      <c r="H328" s="26"/>
      <c r="I328" s="26"/>
      <c r="J328" s="27"/>
    </row>
    <row r="329" spans="1:10" x14ac:dyDescent="0.2">
      <c r="A329" s="9">
        <v>16</v>
      </c>
      <c r="B329" s="11" t="s">
        <v>58</v>
      </c>
      <c r="C329" s="10" t="s">
        <v>42</v>
      </c>
      <c r="D329" s="9" t="s">
        <v>154</v>
      </c>
      <c r="E329" s="11"/>
      <c r="F329" t="s">
        <v>160</v>
      </c>
      <c r="G329" t="s">
        <v>72</v>
      </c>
      <c r="H329" s="26"/>
      <c r="I329" s="26"/>
      <c r="J329" s="27"/>
    </row>
    <row r="330" spans="1:10" x14ac:dyDescent="0.2">
      <c r="A330">
        <v>17</v>
      </c>
      <c r="B330" s="7" t="s">
        <v>58</v>
      </c>
      <c r="C330" s="4" t="s">
        <v>107</v>
      </c>
      <c r="D330" t="s">
        <v>161</v>
      </c>
      <c r="E330" s="7"/>
      <c r="F330" t="s">
        <v>150</v>
      </c>
      <c r="G330" t="s">
        <v>66</v>
      </c>
      <c r="H330" s="27">
        <v>0.12055728368017531</v>
      </c>
      <c r="I330" s="27">
        <v>0.1215074793213738</v>
      </c>
      <c r="J330" s="27"/>
    </row>
    <row r="331" spans="1:10" x14ac:dyDescent="0.2">
      <c r="A331">
        <v>17</v>
      </c>
      <c r="B331" s="7" t="s">
        <v>58</v>
      </c>
      <c r="C331" s="4" t="s">
        <v>107</v>
      </c>
      <c r="D331" s="7" t="s">
        <v>162</v>
      </c>
      <c r="E331" s="7"/>
      <c r="F331" t="s">
        <v>150</v>
      </c>
      <c r="G331" t="s">
        <v>66</v>
      </c>
      <c r="H331" s="27">
        <v>0.1490278203723987</v>
      </c>
      <c r="I331" s="27">
        <v>0.15189449096631211</v>
      </c>
      <c r="J331" s="27"/>
    </row>
    <row r="332" spans="1:10" x14ac:dyDescent="0.2">
      <c r="A332">
        <v>17</v>
      </c>
      <c r="B332" s="7" t="s">
        <v>58</v>
      </c>
      <c r="C332" s="4" t="s">
        <v>107</v>
      </c>
      <c r="D332" s="7" t="s">
        <v>163</v>
      </c>
      <c r="E332" s="7"/>
      <c r="F332" t="s">
        <v>150</v>
      </c>
      <c r="G332" t="s">
        <v>66</v>
      </c>
      <c r="H332" s="27">
        <v>8.6796056955093098E-2</v>
      </c>
      <c r="I332" s="27">
        <v>8.8440893504541401E-2</v>
      </c>
      <c r="J332" s="27"/>
    </row>
    <row r="333" spans="1:10" x14ac:dyDescent="0.2">
      <c r="A333">
        <v>17</v>
      </c>
      <c r="B333" s="7" t="s">
        <v>58</v>
      </c>
      <c r="C333" s="4" t="s">
        <v>107</v>
      </c>
      <c r="D333" s="7" t="s">
        <v>164</v>
      </c>
      <c r="E333" s="7"/>
      <c r="F333" t="s">
        <v>150</v>
      </c>
      <c r="G333" t="s">
        <v>66</v>
      </c>
      <c r="H333" s="27">
        <v>7.3119824753559687E-2</v>
      </c>
      <c r="I333" s="27">
        <v>7.2026099692969914E-2</v>
      </c>
      <c r="J333" s="27"/>
    </row>
    <row r="334" spans="1:10" x14ac:dyDescent="0.2">
      <c r="A334">
        <v>17</v>
      </c>
      <c r="B334" s="7" t="s">
        <v>58</v>
      </c>
      <c r="C334" s="4" t="s">
        <v>107</v>
      </c>
      <c r="D334" s="7" t="s">
        <v>165</v>
      </c>
      <c r="E334" s="7"/>
      <c r="F334" t="s">
        <v>150</v>
      </c>
      <c r="G334" t="s">
        <v>66</v>
      </c>
      <c r="H334" s="27">
        <v>5.4619058050383348E-2</v>
      </c>
      <c r="I334" s="27">
        <v>5.2103305591022248E-2</v>
      </c>
      <c r="J334" s="27"/>
    </row>
    <row r="335" spans="1:10" x14ac:dyDescent="0.2">
      <c r="A335">
        <v>17</v>
      </c>
      <c r="B335" s="7" t="s">
        <v>58</v>
      </c>
      <c r="C335" s="4" t="s">
        <v>107</v>
      </c>
      <c r="D335" s="7" t="s">
        <v>166</v>
      </c>
      <c r="E335" s="7"/>
      <c r="F335" t="s">
        <v>150</v>
      </c>
      <c r="G335" t="s">
        <v>66</v>
      </c>
      <c r="H335" s="27">
        <v>5.3558817086527932E-2</v>
      </c>
      <c r="I335" s="27">
        <v>4.6513564410130707E-2</v>
      </c>
      <c r="J335" s="27"/>
    </row>
    <row r="336" spans="1:10" x14ac:dyDescent="0.2">
      <c r="A336">
        <v>17</v>
      </c>
      <c r="B336" s="7" t="s">
        <v>58</v>
      </c>
      <c r="C336" s="4" t="s">
        <v>107</v>
      </c>
      <c r="D336" s="7" t="s">
        <v>167</v>
      </c>
      <c r="E336" s="7"/>
      <c r="F336" t="s">
        <v>150</v>
      </c>
      <c r="G336" t="s">
        <v>66</v>
      </c>
      <c r="H336" s="27">
        <v>8.8665936473165383E-2</v>
      </c>
      <c r="I336" s="27">
        <v>8.8432353029093136E-2</v>
      </c>
      <c r="J336" s="27"/>
    </row>
    <row r="337" spans="1:10" x14ac:dyDescent="0.2">
      <c r="A337">
        <v>17</v>
      </c>
      <c r="B337" s="7" t="s">
        <v>58</v>
      </c>
      <c r="C337" s="4" t="s">
        <v>107</v>
      </c>
      <c r="D337" s="7" t="s">
        <v>106</v>
      </c>
      <c r="E337" s="7"/>
      <c r="F337" t="s">
        <v>150</v>
      </c>
      <c r="G337" t="s">
        <v>66</v>
      </c>
      <c r="H337" s="28">
        <f>100%-(H336+H335+H334+H333+H332+H331+H330)</f>
        <v>0.37365520262869656</v>
      </c>
      <c r="I337" s="28">
        <f>100%-(I336+I335+I334+I333+I332+I331+I330)</f>
        <v>0.37908181348455661</v>
      </c>
      <c r="J337" s="27"/>
    </row>
    <row r="338" spans="1:10" x14ac:dyDescent="0.2">
      <c r="A338">
        <v>17</v>
      </c>
      <c r="B338" s="7" t="s">
        <v>58</v>
      </c>
      <c r="C338" s="4" t="s">
        <v>119</v>
      </c>
      <c r="D338" t="s">
        <v>161</v>
      </c>
      <c r="E338" s="7"/>
      <c r="F338" t="s">
        <v>155</v>
      </c>
      <c r="G338" t="s">
        <v>79</v>
      </c>
      <c r="H338" s="27">
        <v>6.1286049540081003E-2</v>
      </c>
      <c r="I338" s="27">
        <v>6.1286049540081003E-2</v>
      </c>
      <c r="J338" s="27"/>
    </row>
    <row r="339" spans="1:10" x14ac:dyDescent="0.2">
      <c r="A339">
        <v>17</v>
      </c>
      <c r="B339" s="7" t="s">
        <v>58</v>
      </c>
      <c r="C339" s="4" t="s">
        <v>119</v>
      </c>
      <c r="D339" s="7" t="s">
        <v>162</v>
      </c>
      <c r="E339" s="7"/>
      <c r="F339" t="s">
        <v>155</v>
      </c>
      <c r="G339" t="s">
        <v>79</v>
      </c>
      <c r="H339" s="27">
        <v>0.18635833606966401</v>
      </c>
      <c r="I339" s="27">
        <v>0.18635833606966401</v>
      </c>
      <c r="J339" s="27"/>
    </row>
    <row r="340" spans="1:10" x14ac:dyDescent="0.2">
      <c r="A340">
        <v>17</v>
      </c>
      <c r="B340" s="7" t="s">
        <v>58</v>
      </c>
      <c r="C340" s="4" t="s">
        <v>119</v>
      </c>
      <c r="D340" s="7" t="s">
        <v>163</v>
      </c>
      <c r="E340" s="7"/>
      <c r="F340" t="s">
        <v>155</v>
      </c>
      <c r="G340" t="s">
        <v>79</v>
      </c>
      <c r="H340" s="27">
        <v>1.860618643417767E-2</v>
      </c>
      <c r="I340" s="27">
        <v>7.3328489812662614E-2</v>
      </c>
      <c r="J340" s="27"/>
    </row>
    <row r="341" spans="1:10" x14ac:dyDescent="0.2">
      <c r="A341">
        <v>17</v>
      </c>
      <c r="B341" s="7" t="s">
        <v>58</v>
      </c>
      <c r="C341" s="4" t="s">
        <v>119</v>
      </c>
      <c r="D341" s="7" t="s">
        <v>164</v>
      </c>
      <c r="E341" s="7"/>
      <c r="F341" t="s">
        <v>155</v>
      </c>
      <c r="G341" t="s">
        <v>79</v>
      </c>
      <c r="H341" s="27">
        <v>5.6141747959386819E-2</v>
      </c>
      <c r="I341" s="27">
        <v>5.6141747959386819E-2</v>
      </c>
      <c r="J341" s="27"/>
    </row>
    <row r="342" spans="1:10" x14ac:dyDescent="0.2">
      <c r="A342">
        <v>17</v>
      </c>
      <c r="B342" s="7" t="s">
        <v>58</v>
      </c>
      <c r="C342" s="4" t="s">
        <v>119</v>
      </c>
      <c r="D342" s="7" t="s">
        <v>165</v>
      </c>
      <c r="E342" s="7"/>
      <c r="F342" t="s">
        <v>155</v>
      </c>
      <c r="G342" t="s">
        <v>79</v>
      </c>
      <c r="H342" s="27">
        <v>0.1430657072703658</v>
      </c>
      <c r="I342" s="27">
        <v>0.1430657072703658</v>
      </c>
      <c r="J342" s="27"/>
    </row>
    <row r="343" spans="1:10" x14ac:dyDescent="0.2">
      <c r="A343">
        <v>17</v>
      </c>
      <c r="B343" s="7" t="s">
        <v>58</v>
      </c>
      <c r="C343" s="4" t="s">
        <v>119</v>
      </c>
      <c r="D343" s="7" t="s">
        <v>166</v>
      </c>
      <c r="E343" s="7"/>
      <c r="F343" t="s">
        <v>155</v>
      </c>
      <c r="G343" t="s">
        <v>79</v>
      </c>
      <c r="H343" s="27">
        <v>8.7698750251009858E-2</v>
      </c>
      <c r="I343" s="27">
        <v>8.7698750251009858E-2</v>
      </c>
      <c r="J343" s="27"/>
    </row>
    <row r="344" spans="1:10" x14ac:dyDescent="0.2">
      <c r="A344">
        <v>17</v>
      </c>
      <c r="B344" s="7" t="s">
        <v>58</v>
      </c>
      <c r="C344" s="4" t="s">
        <v>119</v>
      </c>
      <c r="D344" s="7" t="s">
        <v>167</v>
      </c>
      <c r="E344" s="7"/>
      <c r="F344" t="s">
        <v>155</v>
      </c>
      <c r="G344" t="s">
        <v>79</v>
      </c>
      <c r="H344" s="27">
        <v>6.0830999911230851E-2</v>
      </c>
      <c r="I344" s="27">
        <v>6.0830999911230851E-2</v>
      </c>
      <c r="J344" s="27"/>
    </row>
    <row r="345" spans="1:10" x14ac:dyDescent="0.2">
      <c r="A345">
        <v>17</v>
      </c>
      <c r="B345" s="7" t="s">
        <v>58</v>
      </c>
      <c r="C345" s="4" t="s">
        <v>119</v>
      </c>
      <c r="D345" s="7" t="s">
        <v>106</v>
      </c>
      <c r="E345" s="7"/>
      <c r="F345" t="s">
        <v>155</v>
      </c>
      <c r="G345" t="s">
        <v>79</v>
      </c>
      <c r="H345" s="28">
        <f>100%-(H344+H343+H342+H341+H340+H339+H338)</f>
        <v>0.38601222256408396</v>
      </c>
      <c r="I345" s="28">
        <f>100%-(I344+I343+I342+I341+I340+I339+I338)</f>
        <v>0.33128991918559902</v>
      </c>
      <c r="J345" s="27"/>
    </row>
    <row r="346" spans="1:10" x14ac:dyDescent="0.2">
      <c r="A346">
        <v>17</v>
      </c>
      <c r="B346" s="7" t="s">
        <v>58</v>
      </c>
      <c r="C346" s="4" t="s">
        <v>117</v>
      </c>
      <c r="D346" t="s">
        <v>161</v>
      </c>
      <c r="E346" s="7"/>
      <c r="F346" t="s">
        <v>156</v>
      </c>
      <c r="G346" t="s">
        <v>70</v>
      </c>
      <c r="H346" s="27">
        <v>6.7266177637833741E-2</v>
      </c>
      <c r="I346" s="27">
        <v>7.2263471659834877E-2</v>
      </c>
      <c r="J346" s="27"/>
    </row>
    <row r="347" spans="1:10" x14ac:dyDescent="0.2">
      <c r="A347">
        <v>17</v>
      </c>
      <c r="B347" s="7" t="s">
        <v>58</v>
      </c>
      <c r="C347" s="4" t="s">
        <v>117</v>
      </c>
      <c r="D347" s="7" t="s">
        <v>162</v>
      </c>
      <c r="E347" s="7"/>
      <c r="F347" t="s">
        <v>156</v>
      </c>
      <c r="G347" t="s">
        <v>70</v>
      </c>
      <c r="H347" s="27">
        <v>0.2411737854960212</v>
      </c>
      <c r="I347" s="27">
        <v>0.25287725220543611</v>
      </c>
      <c r="J347" s="27"/>
    </row>
    <row r="348" spans="1:10" x14ac:dyDescent="0.2">
      <c r="A348">
        <v>17</v>
      </c>
      <c r="B348" s="7" t="s">
        <v>58</v>
      </c>
      <c r="C348" s="4" t="s">
        <v>117</v>
      </c>
      <c r="D348" s="7" t="s">
        <v>163</v>
      </c>
      <c r="E348" s="7"/>
      <c r="F348" t="s">
        <v>156</v>
      </c>
      <c r="G348" t="s">
        <v>70</v>
      </c>
      <c r="H348" s="27">
        <v>9.5290844228907365E-2</v>
      </c>
      <c r="I348" s="27">
        <v>0.1023239184840901</v>
      </c>
      <c r="J348" s="27"/>
    </row>
    <row r="349" spans="1:10" x14ac:dyDescent="0.2">
      <c r="A349">
        <v>17</v>
      </c>
      <c r="B349" s="7" t="s">
        <v>58</v>
      </c>
      <c r="C349" s="4" t="s">
        <v>117</v>
      </c>
      <c r="D349" s="7" t="s">
        <v>164</v>
      </c>
      <c r="E349" s="7"/>
      <c r="F349" t="s">
        <v>156</v>
      </c>
      <c r="G349" t="s">
        <v>70</v>
      </c>
      <c r="H349" s="27">
        <v>7.0734735293519063E-2</v>
      </c>
      <c r="I349" s="27">
        <v>6.4136824338369189E-2</v>
      </c>
      <c r="J349" s="27"/>
    </row>
    <row r="350" spans="1:10" x14ac:dyDescent="0.2">
      <c r="A350">
        <v>17</v>
      </c>
      <c r="B350" s="7" t="s">
        <v>58</v>
      </c>
      <c r="C350" s="4" t="s">
        <v>117</v>
      </c>
      <c r="D350" s="7" t="s">
        <v>165</v>
      </c>
      <c r="E350" s="7"/>
      <c r="F350" t="s">
        <v>156</v>
      </c>
      <c r="G350" t="s">
        <v>70</v>
      </c>
      <c r="H350" s="27">
        <v>4.3480536245409901E-2</v>
      </c>
      <c r="I350" s="27">
        <v>3.9790140599146928E-2</v>
      </c>
      <c r="J350" s="27"/>
    </row>
    <row r="351" spans="1:10" x14ac:dyDescent="0.2">
      <c r="A351">
        <v>17</v>
      </c>
      <c r="B351" s="7" t="s">
        <v>58</v>
      </c>
      <c r="C351" s="4" t="s">
        <v>117</v>
      </c>
      <c r="D351" s="7" t="s">
        <v>166</v>
      </c>
      <c r="E351" s="7"/>
      <c r="F351" t="s">
        <v>156</v>
      </c>
      <c r="G351" t="s">
        <v>70</v>
      </c>
      <c r="H351" s="27">
        <v>2.380744707760207E-2</v>
      </c>
      <c r="I351" s="27">
        <v>1.9748734108804279E-2</v>
      </c>
      <c r="J351" s="27"/>
    </row>
    <row r="352" spans="1:10" x14ac:dyDescent="0.2">
      <c r="A352">
        <v>17</v>
      </c>
      <c r="B352" s="7" t="s">
        <v>58</v>
      </c>
      <c r="C352" s="4" t="s">
        <v>117</v>
      </c>
      <c r="D352" s="7" t="s">
        <v>167</v>
      </c>
      <c r="E352" s="7"/>
      <c r="F352" t="s">
        <v>156</v>
      </c>
      <c r="G352" t="s">
        <v>70</v>
      </c>
      <c r="H352" s="27">
        <v>5.9903124609314809E-2</v>
      </c>
      <c r="I352" s="27">
        <v>6.1572615177391057E-2</v>
      </c>
      <c r="J352" s="27"/>
    </row>
    <row r="353" spans="1:10" x14ac:dyDescent="0.2">
      <c r="A353">
        <v>17</v>
      </c>
      <c r="B353" s="7" t="s">
        <v>58</v>
      </c>
      <c r="C353" s="4" t="s">
        <v>117</v>
      </c>
      <c r="D353" s="7" t="s">
        <v>106</v>
      </c>
      <c r="E353" s="7"/>
      <c r="F353" t="s">
        <v>156</v>
      </c>
      <c r="G353" t="s">
        <v>70</v>
      </c>
      <c r="H353" s="28">
        <f>100%-(H352+H351+H350+H349+H348+H347+H346)</f>
        <v>0.39834334941139182</v>
      </c>
      <c r="I353" s="28">
        <f>100%-(I352+I351+I350+I349+I348+I347+I346)</f>
        <v>0.38728704342692732</v>
      </c>
      <c r="J353" s="27"/>
    </row>
    <row r="354" spans="1:10" x14ac:dyDescent="0.2">
      <c r="A354">
        <v>17</v>
      </c>
      <c r="B354" s="7" t="s">
        <v>58</v>
      </c>
      <c r="C354" s="4" t="s">
        <v>43</v>
      </c>
      <c r="D354" t="s">
        <v>161</v>
      </c>
      <c r="E354" s="7"/>
      <c r="F354" t="s">
        <v>157</v>
      </c>
      <c r="G354" t="s">
        <v>74</v>
      </c>
      <c r="H354" s="27">
        <v>4.390392255826895E-2</v>
      </c>
      <c r="I354" s="27">
        <v>5.0815091594471257E-2</v>
      </c>
      <c r="J354" s="27"/>
    </row>
    <row r="355" spans="1:10" x14ac:dyDescent="0.2">
      <c r="A355">
        <v>17</v>
      </c>
      <c r="B355" s="7" t="s">
        <v>58</v>
      </c>
      <c r="C355" s="4" t="s">
        <v>43</v>
      </c>
      <c r="D355" s="7" t="s">
        <v>162</v>
      </c>
      <c r="E355" s="7"/>
      <c r="F355" t="s">
        <v>157</v>
      </c>
      <c r="G355" t="s">
        <v>74</v>
      </c>
      <c r="H355" s="27">
        <v>0.29048414023372288</v>
      </c>
      <c r="I355" s="27">
        <v>0.25421599100588588</v>
      </c>
      <c r="J355" s="27"/>
    </row>
    <row r="356" spans="1:10" x14ac:dyDescent="0.2">
      <c r="A356">
        <v>17</v>
      </c>
      <c r="B356" s="7" t="s">
        <v>58</v>
      </c>
      <c r="C356" s="4" t="s">
        <v>43</v>
      </c>
      <c r="D356" s="7" t="s">
        <v>163</v>
      </c>
      <c r="E356" s="7"/>
      <c r="F356" t="s">
        <v>157</v>
      </c>
      <c r="G356" t="s">
        <v>74</v>
      </c>
      <c r="H356" s="27">
        <v>0.18118699123862769</v>
      </c>
      <c r="I356" s="27">
        <v>0.16479564843594999</v>
      </c>
      <c r="J356" s="27"/>
    </row>
    <row r="357" spans="1:10" x14ac:dyDescent="0.2">
      <c r="A357">
        <v>17</v>
      </c>
      <c r="B357" s="7" t="s">
        <v>58</v>
      </c>
      <c r="C357" s="4" t="s">
        <v>43</v>
      </c>
      <c r="D357" s="7" t="s">
        <v>164</v>
      </c>
      <c r="E357" s="7"/>
      <c r="F357" t="s">
        <v>157</v>
      </c>
      <c r="G357" t="s">
        <v>74</v>
      </c>
      <c r="H357" s="27">
        <v>7.9085297200760962E-2</v>
      </c>
      <c r="I357" s="27">
        <v>7.6044904437537197E-2</v>
      </c>
      <c r="J357" s="27"/>
    </row>
    <row r="358" spans="1:10" x14ac:dyDescent="0.2">
      <c r="A358">
        <v>17</v>
      </c>
      <c r="B358" s="7" t="s">
        <v>58</v>
      </c>
      <c r="C358" s="4" t="s">
        <v>43</v>
      </c>
      <c r="D358" s="7" t="s">
        <v>165</v>
      </c>
      <c r="E358" s="7"/>
      <c r="F358" t="s">
        <v>157</v>
      </c>
      <c r="G358" t="s">
        <v>74</v>
      </c>
      <c r="H358" s="27">
        <v>6.0805476828305567E-2</v>
      </c>
      <c r="I358" s="27">
        <v>5.8203651513294943E-2</v>
      </c>
      <c r="J358" s="27"/>
    </row>
    <row r="359" spans="1:10" x14ac:dyDescent="0.2">
      <c r="A359">
        <v>17</v>
      </c>
      <c r="B359" s="7" t="s">
        <v>58</v>
      </c>
      <c r="C359" s="4" t="s">
        <v>43</v>
      </c>
      <c r="D359" s="7" t="s">
        <v>166</v>
      </c>
      <c r="E359" s="7"/>
      <c r="F359" t="s">
        <v>157</v>
      </c>
      <c r="G359" t="s">
        <v>74</v>
      </c>
      <c r="H359" s="27">
        <v>5.6010663767778343E-2</v>
      </c>
      <c r="I359" s="27">
        <v>5.0087626479730182E-2</v>
      </c>
      <c r="J359" s="27"/>
    </row>
    <row r="360" spans="1:10" x14ac:dyDescent="0.2">
      <c r="A360">
        <v>17</v>
      </c>
      <c r="B360" s="7" t="s">
        <v>58</v>
      </c>
      <c r="C360" s="4" t="s">
        <v>43</v>
      </c>
      <c r="D360" s="7" t="s">
        <v>167</v>
      </c>
      <c r="E360" s="7"/>
      <c r="F360" t="s">
        <v>157</v>
      </c>
      <c r="G360" t="s">
        <v>74</v>
      </c>
      <c r="H360" s="27">
        <v>4.1095624490429777E-2</v>
      </c>
      <c r="I360" s="27">
        <v>5.2782554063884657E-2</v>
      </c>
      <c r="J360" s="27"/>
    </row>
    <row r="361" spans="1:10" x14ac:dyDescent="0.2">
      <c r="A361">
        <v>17</v>
      </c>
      <c r="B361" s="7" t="s">
        <v>58</v>
      </c>
      <c r="C361" s="4" t="s">
        <v>43</v>
      </c>
      <c r="D361" s="7" t="s">
        <v>106</v>
      </c>
      <c r="E361" s="7"/>
      <c r="F361" t="s">
        <v>157</v>
      </c>
      <c r="G361" t="s">
        <v>74</v>
      </c>
      <c r="H361" s="28">
        <f>100%-(H360+H359+H358+H357+H356+H355+H354)</f>
        <v>0.24742788368210578</v>
      </c>
      <c r="I361" s="28">
        <f>100%-(I360+I359+I358+I357+I356+I355+I354)</f>
        <v>0.29305453246924584</v>
      </c>
      <c r="J361" s="27"/>
    </row>
    <row r="362" spans="1:10" x14ac:dyDescent="0.2">
      <c r="A362">
        <v>17</v>
      </c>
      <c r="B362" s="7" t="s">
        <v>58</v>
      </c>
      <c r="C362" s="4" t="s">
        <v>40</v>
      </c>
      <c r="D362" t="s">
        <v>161</v>
      </c>
      <c r="E362" s="7"/>
      <c r="F362" t="s">
        <v>158</v>
      </c>
      <c r="G362" t="s">
        <v>68</v>
      </c>
      <c r="H362" s="27">
        <v>5.1562072079616668E-2</v>
      </c>
      <c r="I362" s="27">
        <v>4.5840650530655877E-2</v>
      </c>
      <c r="J362" s="27"/>
    </row>
    <row r="363" spans="1:10" x14ac:dyDescent="0.2">
      <c r="A363">
        <v>17</v>
      </c>
      <c r="B363" s="7" t="s">
        <v>58</v>
      </c>
      <c r="C363" s="4" t="s">
        <v>40</v>
      </c>
      <c r="D363" s="7" t="s">
        <v>162</v>
      </c>
      <c r="E363" s="7"/>
      <c r="F363" t="s">
        <v>158</v>
      </c>
      <c r="G363" t="s">
        <v>68</v>
      </c>
      <c r="H363" s="27">
        <v>0.34022457261716949</v>
      </c>
      <c r="I363" s="27">
        <v>0.27450942964037572</v>
      </c>
      <c r="J363" s="27"/>
    </row>
    <row r="364" spans="1:10" x14ac:dyDescent="0.2">
      <c r="A364">
        <v>17</v>
      </c>
      <c r="B364" s="7" t="s">
        <v>58</v>
      </c>
      <c r="C364" s="4" t="s">
        <v>40</v>
      </c>
      <c r="D364" s="7" t="s">
        <v>163</v>
      </c>
      <c r="E364" s="7"/>
      <c r="F364" t="s">
        <v>158</v>
      </c>
      <c r="G364" t="s">
        <v>68</v>
      </c>
      <c r="H364" s="27">
        <v>0.17460396499002981</v>
      </c>
      <c r="I364" s="27">
        <v>0.22382988470642129</v>
      </c>
      <c r="J364" s="27"/>
    </row>
    <row r="365" spans="1:10" x14ac:dyDescent="0.2">
      <c r="A365">
        <v>17</v>
      </c>
      <c r="B365" s="7" t="s">
        <v>58</v>
      </c>
      <c r="C365" s="4" t="s">
        <v>40</v>
      </c>
      <c r="D365" s="7" t="s">
        <v>164</v>
      </c>
      <c r="E365" s="7"/>
      <c r="F365" t="s">
        <v>158</v>
      </c>
      <c r="G365" t="s">
        <v>68</v>
      </c>
      <c r="H365" s="27">
        <v>6.9248127618448369E-2</v>
      </c>
      <c r="I365" s="27">
        <v>3.723180881117813E-2</v>
      </c>
      <c r="J365" s="27"/>
    </row>
    <row r="366" spans="1:10" x14ac:dyDescent="0.2">
      <c r="A366">
        <v>17</v>
      </c>
      <c r="B366" s="7" t="s">
        <v>58</v>
      </c>
      <c r="C366" s="4" t="s">
        <v>40</v>
      </c>
      <c r="D366" s="7" t="s">
        <v>165</v>
      </c>
      <c r="E366" s="7"/>
      <c r="F366" t="s">
        <v>158</v>
      </c>
      <c r="G366" t="s">
        <v>68</v>
      </c>
      <c r="H366" s="27">
        <v>4.094908072799372E-2</v>
      </c>
      <c r="I366" s="27">
        <v>3.723180881117813E-2</v>
      </c>
      <c r="J366" s="27"/>
    </row>
    <row r="367" spans="1:10" x14ac:dyDescent="0.2">
      <c r="A367">
        <v>17</v>
      </c>
      <c r="B367" s="7" t="s">
        <v>58</v>
      </c>
      <c r="C367" s="4" t="s">
        <v>40</v>
      </c>
      <c r="D367" s="7" t="s">
        <v>166</v>
      </c>
      <c r="E367" s="7"/>
      <c r="F367" t="s">
        <v>158</v>
      </c>
      <c r="G367" t="s">
        <v>68</v>
      </c>
      <c r="H367" s="27">
        <v>2.0811784064442972E-2</v>
      </c>
      <c r="I367" s="27">
        <v>1.7723524471252961E-2</v>
      </c>
      <c r="J367" s="27"/>
    </row>
    <row r="368" spans="1:10" x14ac:dyDescent="0.2">
      <c r="A368">
        <v>17</v>
      </c>
      <c r="B368" s="7" t="s">
        <v>58</v>
      </c>
      <c r="C368" s="4" t="s">
        <v>40</v>
      </c>
      <c r="D368" s="7" t="s">
        <v>167</v>
      </c>
      <c r="E368" s="7"/>
      <c r="F368" t="s">
        <v>158</v>
      </c>
      <c r="G368" t="s">
        <v>68</v>
      </c>
      <c r="H368" s="27">
        <v>4.7046627902502622E-2</v>
      </c>
      <c r="I368" s="27">
        <v>8.8913491639306716E-2</v>
      </c>
      <c r="J368" s="27"/>
    </row>
    <row r="369" spans="1:10" x14ac:dyDescent="0.2">
      <c r="A369">
        <v>17</v>
      </c>
      <c r="B369" s="7" t="s">
        <v>58</v>
      </c>
      <c r="C369" s="4" t="s">
        <v>40</v>
      </c>
      <c r="D369" s="7" t="s">
        <v>106</v>
      </c>
      <c r="E369" s="7"/>
      <c r="F369" t="s">
        <v>158</v>
      </c>
      <c r="G369" t="s">
        <v>68</v>
      </c>
      <c r="H369" s="28">
        <f>100%-(H368+H367+H366+H365+H364+H363+H362)</f>
        <v>0.2555537699997964</v>
      </c>
      <c r="I369" s="28">
        <f>100%-(I368+I367+I366+I365+I364+I363+I362)</f>
        <v>0.27471940138963113</v>
      </c>
      <c r="J369" s="27"/>
    </row>
    <row r="370" spans="1:10" x14ac:dyDescent="0.2">
      <c r="A370">
        <v>17</v>
      </c>
      <c r="B370" s="7" t="s">
        <v>58</v>
      </c>
      <c r="C370" s="4" t="s">
        <v>75</v>
      </c>
      <c r="D370" t="s">
        <v>161</v>
      </c>
      <c r="E370" s="7"/>
      <c r="F370" t="s">
        <v>159</v>
      </c>
      <c r="G370" t="s">
        <v>77</v>
      </c>
      <c r="H370" s="27" t="e">
        <v>#VALUE!</v>
      </c>
      <c r="I370" s="27" t="e">
        <v>#VALUE!</v>
      </c>
      <c r="J370" s="27"/>
    </row>
    <row r="371" spans="1:10" x14ac:dyDescent="0.2">
      <c r="A371">
        <v>17</v>
      </c>
      <c r="B371" s="7" t="s">
        <v>58</v>
      </c>
      <c r="C371" s="4" t="s">
        <v>75</v>
      </c>
      <c r="D371" s="7" t="s">
        <v>162</v>
      </c>
      <c r="E371" s="7"/>
      <c r="F371" t="s">
        <v>159</v>
      </c>
      <c r="G371" t="s">
        <v>77</v>
      </c>
      <c r="H371" s="27"/>
      <c r="I371" s="27" t="e">
        <v>#VALUE!</v>
      </c>
      <c r="J371" s="27"/>
    </row>
    <row r="372" spans="1:10" x14ac:dyDescent="0.2">
      <c r="A372">
        <v>17</v>
      </c>
      <c r="B372" s="7" t="s">
        <v>58</v>
      </c>
      <c r="C372" s="4" t="s">
        <v>75</v>
      </c>
      <c r="D372" s="7" t="s">
        <v>163</v>
      </c>
      <c r="E372" s="7"/>
      <c r="F372" t="s">
        <v>159</v>
      </c>
      <c r="G372" t="s">
        <v>77</v>
      </c>
      <c r="H372" s="27">
        <v>1</v>
      </c>
      <c r="I372" s="27">
        <v>1</v>
      </c>
      <c r="J372" s="27"/>
    </row>
    <row r="373" spans="1:10" x14ac:dyDescent="0.2">
      <c r="A373">
        <v>17</v>
      </c>
      <c r="B373" s="7" t="s">
        <v>58</v>
      </c>
      <c r="C373" s="4" t="s">
        <v>75</v>
      </c>
      <c r="D373" s="7" t="s">
        <v>164</v>
      </c>
      <c r="E373" s="7"/>
      <c r="F373" t="s">
        <v>159</v>
      </c>
      <c r="G373" t="s">
        <v>77</v>
      </c>
      <c r="H373" s="27" t="e">
        <v>#VALUE!</v>
      </c>
      <c r="I373" s="27" t="e">
        <v>#VALUE!</v>
      </c>
      <c r="J373" s="27"/>
    </row>
    <row r="374" spans="1:10" x14ac:dyDescent="0.2">
      <c r="A374">
        <v>17</v>
      </c>
      <c r="B374" s="7" t="s">
        <v>58</v>
      </c>
      <c r="C374" s="4" t="s">
        <v>75</v>
      </c>
      <c r="D374" s="7" t="s">
        <v>165</v>
      </c>
      <c r="E374" s="7"/>
      <c r="F374" t="s">
        <v>159</v>
      </c>
      <c r="G374" t="s">
        <v>77</v>
      </c>
      <c r="H374" s="27" t="e">
        <v>#VALUE!</v>
      </c>
      <c r="I374" s="27" t="e">
        <v>#VALUE!</v>
      </c>
      <c r="J374" s="27"/>
    </row>
    <row r="375" spans="1:10" x14ac:dyDescent="0.2">
      <c r="A375">
        <v>17</v>
      </c>
      <c r="B375" s="7" t="s">
        <v>58</v>
      </c>
      <c r="C375" s="4" t="s">
        <v>75</v>
      </c>
      <c r="D375" s="7" t="s">
        <v>166</v>
      </c>
      <c r="E375" s="7"/>
      <c r="F375" t="s">
        <v>159</v>
      </c>
      <c r="G375" t="s">
        <v>77</v>
      </c>
      <c r="H375" s="27" t="e">
        <v>#VALUE!</v>
      </c>
      <c r="I375" s="27" t="e">
        <v>#VALUE!</v>
      </c>
      <c r="J375" s="27"/>
    </row>
    <row r="376" spans="1:10" x14ac:dyDescent="0.2">
      <c r="A376">
        <v>17</v>
      </c>
      <c r="B376" s="7" t="s">
        <v>58</v>
      </c>
      <c r="C376" s="4" t="s">
        <v>75</v>
      </c>
      <c r="D376" s="7" t="s">
        <v>167</v>
      </c>
      <c r="E376" s="7"/>
      <c r="F376" t="s">
        <v>159</v>
      </c>
      <c r="G376" t="s">
        <v>77</v>
      </c>
      <c r="H376" s="27" t="e">
        <v>#VALUE!</v>
      </c>
      <c r="I376" s="27"/>
      <c r="J376" s="27"/>
    </row>
    <row r="377" spans="1:10" x14ac:dyDescent="0.2">
      <c r="A377">
        <v>17</v>
      </c>
      <c r="B377" s="7" t="s">
        <v>58</v>
      </c>
      <c r="C377" s="4" t="s">
        <v>75</v>
      </c>
      <c r="D377" s="7" t="s">
        <v>106</v>
      </c>
      <c r="E377" s="7"/>
      <c r="F377" t="s">
        <v>159</v>
      </c>
      <c r="G377" t="s">
        <v>77</v>
      </c>
      <c r="H377" s="28" t="e">
        <f>100%-(H376+H375+H374+H373+H372+H371+H370)</f>
        <v>#VALUE!</v>
      </c>
      <c r="I377" s="28" t="e">
        <f>100%-(I376+I375+I374+I373+I372+I371+I370)</f>
        <v>#VALUE!</v>
      </c>
      <c r="J377" s="27"/>
    </row>
    <row r="378" spans="1:10" x14ac:dyDescent="0.2">
      <c r="A378">
        <v>17</v>
      </c>
      <c r="B378" s="7" t="s">
        <v>58</v>
      </c>
      <c r="C378" s="4" t="s">
        <v>42</v>
      </c>
      <c r="D378" t="s">
        <v>161</v>
      </c>
      <c r="E378" s="7"/>
      <c r="F378" t="s">
        <v>160</v>
      </c>
      <c r="G378" t="s">
        <v>72</v>
      </c>
      <c r="H378" s="27">
        <v>8.9422764002693098E-3</v>
      </c>
      <c r="I378" s="27" t="e">
        <v>#VALUE!</v>
      </c>
      <c r="J378" s="27"/>
    </row>
    <row r="379" spans="1:10" x14ac:dyDescent="0.2">
      <c r="A379">
        <v>17</v>
      </c>
      <c r="B379" s="7" t="s">
        <v>58</v>
      </c>
      <c r="C379" s="4" t="s">
        <v>42</v>
      </c>
      <c r="D379" s="7" t="s">
        <v>162</v>
      </c>
      <c r="E379" s="7"/>
      <c r="F379" t="s">
        <v>160</v>
      </c>
      <c r="G379" t="s">
        <v>72</v>
      </c>
      <c r="H379" s="27" t="e">
        <v>#VALUE!</v>
      </c>
      <c r="I379" s="27" t="e">
        <v>#VALUE!</v>
      </c>
      <c r="J379" s="27"/>
    </row>
    <row r="380" spans="1:10" x14ac:dyDescent="0.2">
      <c r="A380">
        <v>17</v>
      </c>
      <c r="B380" s="7" t="s">
        <v>58</v>
      </c>
      <c r="C380" s="4" t="s">
        <v>42</v>
      </c>
      <c r="D380" s="7" t="s">
        <v>163</v>
      </c>
      <c r="E380" s="7"/>
      <c r="F380" t="s">
        <v>160</v>
      </c>
      <c r="G380" t="s">
        <v>72</v>
      </c>
      <c r="H380" s="27">
        <v>0.15925868831680459</v>
      </c>
      <c r="I380" s="27">
        <v>0.20552503790940679</v>
      </c>
      <c r="J380" s="27"/>
    </row>
    <row r="381" spans="1:10" x14ac:dyDescent="0.2">
      <c r="A381">
        <v>17</v>
      </c>
      <c r="B381" s="7" t="s">
        <v>58</v>
      </c>
      <c r="C381" s="4" t="s">
        <v>42</v>
      </c>
      <c r="D381" s="7" t="s">
        <v>164</v>
      </c>
      <c r="E381" s="7"/>
      <c r="F381" t="s">
        <v>160</v>
      </c>
      <c r="G381" t="s">
        <v>72</v>
      </c>
      <c r="H381" s="27" t="e">
        <v>#VALUE!</v>
      </c>
      <c r="I381" s="27" t="e">
        <v>#VALUE!</v>
      </c>
      <c r="J381" s="27"/>
    </row>
    <row r="382" spans="1:10" x14ac:dyDescent="0.2">
      <c r="A382">
        <v>17</v>
      </c>
      <c r="B382" s="7" t="s">
        <v>58</v>
      </c>
      <c r="C382" s="4" t="s">
        <v>42</v>
      </c>
      <c r="D382" s="7" t="s">
        <v>165</v>
      </c>
      <c r="E382" s="7"/>
      <c r="F382" t="s">
        <v>160</v>
      </c>
      <c r="G382" t="s">
        <v>72</v>
      </c>
      <c r="H382" s="27">
        <v>0.67879611952372865</v>
      </c>
      <c r="I382" s="27">
        <v>0.69452983485069297</v>
      </c>
      <c r="J382" s="27"/>
    </row>
    <row r="383" spans="1:10" x14ac:dyDescent="0.2">
      <c r="A383">
        <v>17</v>
      </c>
      <c r="B383" s="7" t="s">
        <v>58</v>
      </c>
      <c r="C383" s="4" t="s">
        <v>42</v>
      </c>
      <c r="D383" s="7" t="s">
        <v>166</v>
      </c>
      <c r="E383" s="7"/>
      <c r="F383" t="s">
        <v>160</v>
      </c>
      <c r="G383" t="s">
        <v>72</v>
      </c>
      <c r="H383" s="27" t="e">
        <v>#VALUE!</v>
      </c>
      <c r="I383" s="27" t="e">
        <v>#VALUE!</v>
      </c>
      <c r="J383" s="27"/>
    </row>
    <row r="384" spans="1:10" x14ac:dyDescent="0.2">
      <c r="A384">
        <v>17</v>
      </c>
      <c r="B384" s="7" t="s">
        <v>58</v>
      </c>
      <c r="C384" s="4" t="s">
        <v>42</v>
      </c>
      <c r="D384" s="7" t="s">
        <v>167</v>
      </c>
      <c r="E384" s="7"/>
      <c r="F384" t="s">
        <v>160</v>
      </c>
      <c r="G384" t="s">
        <v>72</v>
      </c>
      <c r="H384" s="27" t="e">
        <v>#VALUE!</v>
      </c>
      <c r="I384" s="27" t="e">
        <v>#VALUE!</v>
      </c>
      <c r="J384" s="27"/>
    </row>
    <row r="385" spans="1:10" x14ac:dyDescent="0.2">
      <c r="A385">
        <v>17</v>
      </c>
      <c r="B385" s="7" t="s">
        <v>58</v>
      </c>
      <c r="C385" s="4" t="s">
        <v>42</v>
      </c>
      <c r="D385" s="7" t="s">
        <v>106</v>
      </c>
      <c r="E385" s="7"/>
      <c r="F385" t="s">
        <v>160</v>
      </c>
      <c r="G385" t="s">
        <v>72</v>
      </c>
      <c r="H385" s="28" t="e">
        <f>100%-(H384+H383+H382+H381+H380+H379+H378)</f>
        <v>#VALUE!</v>
      </c>
      <c r="I385" s="28" t="e">
        <f>100%-(I384+I383+I382+I381+I380+I379+I378)</f>
        <v>#VALUE!</v>
      </c>
      <c r="J385" s="27"/>
    </row>
    <row r="386" spans="1:10" x14ac:dyDescent="0.2">
      <c r="A386">
        <v>18</v>
      </c>
      <c r="B386" s="7" t="s">
        <v>168</v>
      </c>
      <c r="C386" s="4" t="s">
        <v>107</v>
      </c>
      <c r="D386" t="s">
        <v>169</v>
      </c>
      <c r="F386" t="s">
        <v>170</v>
      </c>
      <c r="G386" t="s">
        <v>66</v>
      </c>
      <c r="H386">
        <v>5706.25</v>
      </c>
      <c r="I386">
        <v>4683.58</v>
      </c>
      <c r="J386" s="27">
        <v>0.21840000000000001</v>
      </c>
    </row>
    <row r="387" spans="1:10" x14ac:dyDescent="0.2">
      <c r="A387">
        <v>18</v>
      </c>
      <c r="B387" s="7" t="s">
        <v>168</v>
      </c>
      <c r="C387" s="4" t="s">
        <v>107</v>
      </c>
      <c r="D387" t="s">
        <v>171</v>
      </c>
      <c r="F387" t="s">
        <v>170</v>
      </c>
      <c r="G387" t="s">
        <v>66</v>
      </c>
      <c r="H387">
        <v>4504.6400000000003</v>
      </c>
      <c r="I387">
        <v>3697.32</v>
      </c>
      <c r="J387" s="27">
        <v>0.21840000000000001</v>
      </c>
    </row>
    <row r="388" spans="1:10" x14ac:dyDescent="0.2">
      <c r="A388">
        <v>18</v>
      </c>
      <c r="B388" s="7" t="s">
        <v>168</v>
      </c>
      <c r="C388" s="4" t="s">
        <v>107</v>
      </c>
      <c r="D388" t="s">
        <v>172</v>
      </c>
      <c r="F388" t="s">
        <v>170</v>
      </c>
      <c r="G388" t="s">
        <v>66</v>
      </c>
      <c r="H388">
        <v>4095.62</v>
      </c>
      <c r="I388">
        <v>3367.04</v>
      </c>
      <c r="J388" s="27">
        <v>0.21640000000000001</v>
      </c>
    </row>
    <row r="389" spans="1:10" x14ac:dyDescent="0.2">
      <c r="A389">
        <v>18</v>
      </c>
      <c r="B389" s="7" t="s">
        <v>168</v>
      </c>
      <c r="C389" s="4" t="s">
        <v>107</v>
      </c>
      <c r="D389" s="12" t="s">
        <v>173</v>
      </c>
      <c r="G389" t="s">
        <v>66</v>
      </c>
    </row>
    <row r="390" spans="1:10" x14ac:dyDescent="0.2">
      <c r="A390">
        <v>18</v>
      </c>
      <c r="B390" s="7" t="s">
        <v>168</v>
      </c>
      <c r="C390" s="4" t="s">
        <v>107</v>
      </c>
      <c r="D390" t="s">
        <v>174</v>
      </c>
      <c r="F390" t="s">
        <v>175</v>
      </c>
      <c r="G390" t="s">
        <v>66</v>
      </c>
      <c r="H390">
        <v>3013.35</v>
      </c>
      <c r="I390">
        <v>2134.9699999999998</v>
      </c>
      <c r="J390" s="27">
        <f>H390/I390-1</f>
        <v>0.41142498489440138</v>
      </c>
    </row>
    <row r="391" spans="1:10" x14ac:dyDescent="0.2">
      <c r="A391">
        <v>18</v>
      </c>
      <c r="B391" s="7" t="s">
        <v>168</v>
      </c>
      <c r="C391" s="4" t="s">
        <v>107</v>
      </c>
      <c r="D391" s="12" t="s">
        <v>176</v>
      </c>
      <c r="G391" t="s">
        <v>66</v>
      </c>
      <c r="J391" s="27"/>
    </row>
    <row r="392" spans="1:10" x14ac:dyDescent="0.2">
      <c r="A392">
        <v>18</v>
      </c>
      <c r="B392" s="7" t="s">
        <v>168</v>
      </c>
      <c r="C392" s="4" t="s">
        <v>107</v>
      </c>
      <c r="D392" t="s">
        <v>177</v>
      </c>
      <c r="F392" t="s">
        <v>178</v>
      </c>
      <c r="G392" t="s">
        <v>66</v>
      </c>
      <c r="H392" s="22">
        <v>-214.35</v>
      </c>
      <c r="I392">
        <v>7.44</v>
      </c>
      <c r="J392" s="27">
        <f>H392/I392-1</f>
        <v>-29.81048387096774</v>
      </c>
    </row>
    <row r="393" spans="1:10" x14ac:dyDescent="0.2">
      <c r="A393">
        <v>18</v>
      </c>
      <c r="B393" s="7" t="s">
        <v>168</v>
      </c>
      <c r="C393" s="4" t="s">
        <v>107</v>
      </c>
      <c r="D393" t="s">
        <v>179</v>
      </c>
      <c r="F393" t="s">
        <v>178</v>
      </c>
      <c r="G393" t="s">
        <v>66</v>
      </c>
      <c r="H393" s="22">
        <v>-214.35</v>
      </c>
      <c r="I393" s="22">
        <v>7.44</v>
      </c>
      <c r="J393" s="27">
        <f>H393/I393-1</f>
        <v>-29.81048387096774</v>
      </c>
    </row>
    <row r="394" spans="1:10" x14ac:dyDescent="0.2">
      <c r="A394">
        <v>18</v>
      </c>
      <c r="B394" s="7" t="s">
        <v>168</v>
      </c>
      <c r="C394" s="4" t="s">
        <v>40</v>
      </c>
      <c r="D394" t="s">
        <v>169</v>
      </c>
      <c r="F394" t="s">
        <v>180</v>
      </c>
      <c r="G394" t="s">
        <v>68</v>
      </c>
      <c r="H394">
        <v>4418.17</v>
      </c>
      <c r="I394">
        <v>3218.57</v>
      </c>
      <c r="J394" s="27">
        <f>H394/I394-1</f>
        <v>0.37271210506529284</v>
      </c>
    </row>
    <row r="395" spans="1:10" x14ac:dyDescent="0.2">
      <c r="A395">
        <v>18</v>
      </c>
      <c r="B395" s="7" t="s">
        <v>168</v>
      </c>
      <c r="C395" s="4" t="s">
        <v>40</v>
      </c>
      <c r="D395" t="s">
        <v>171</v>
      </c>
      <c r="F395" t="s">
        <v>180</v>
      </c>
      <c r="G395" t="s">
        <v>68</v>
      </c>
      <c r="H395" s="29">
        <v>3361.09</v>
      </c>
      <c r="I395" s="29">
        <v>2479.86</v>
      </c>
      <c r="J395" s="27">
        <f>H395/I395-1</f>
        <v>0.35535473776745463</v>
      </c>
    </row>
    <row r="396" spans="1:10" x14ac:dyDescent="0.2">
      <c r="A396">
        <v>18</v>
      </c>
      <c r="B396" s="7" t="s">
        <v>168</v>
      </c>
      <c r="C396" s="4" t="s">
        <v>40</v>
      </c>
      <c r="D396" t="s">
        <v>172</v>
      </c>
      <c r="F396" t="s">
        <v>180</v>
      </c>
      <c r="G396" t="s">
        <v>68</v>
      </c>
      <c r="H396">
        <v>2943.37</v>
      </c>
      <c r="I396">
        <v>2166.9699999999998</v>
      </c>
      <c r="J396" s="27">
        <f>H396/I396-1</f>
        <v>0.35828830117629695</v>
      </c>
    </row>
    <row r="397" spans="1:10" x14ac:dyDescent="0.2">
      <c r="A397">
        <v>18</v>
      </c>
      <c r="B397" s="7" t="s">
        <v>168</v>
      </c>
      <c r="C397" s="4" t="s">
        <v>40</v>
      </c>
      <c r="D397" s="12" t="s">
        <v>173</v>
      </c>
      <c r="G397" t="s">
        <v>68</v>
      </c>
      <c r="J397" s="27"/>
    </row>
    <row r="398" spans="1:10" x14ac:dyDescent="0.2">
      <c r="A398">
        <v>18</v>
      </c>
      <c r="B398" s="7" t="s">
        <v>168</v>
      </c>
      <c r="C398" s="4" t="s">
        <v>40</v>
      </c>
      <c r="D398" t="s">
        <v>174</v>
      </c>
      <c r="F398" t="s">
        <v>181</v>
      </c>
      <c r="G398" t="s">
        <v>68</v>
      </c>
      <c r="H398">
        <v>2434.42</v>
      </c>
      <c r="I398">
        <v>1675.19</v>
      </c>
      <c r="J398" s="27">
        <f>H398/I398-1</f>
        <v>0.45322023173490766</v>
      </c>
    </row>
    <row r="399" spans="1:10" x14ac:dyDescent="0.2">
      <c r="A399">
        <v>18</v>
      </c>
      <c r="B399" s="7" t="s">
        <v>168</v>
      </c>
      <c r="C399" s="4" t="s">
        <v>40</v>
      </c>
      <c r="D399" s="12" t="s">
        <v>176</v>
      </c>
      <c r="G399" t="s">
        <v>68</v>
      </c>
      <c r="J399" s="27"/>
    </row>
    <row r="400" spans="1:10" x14ac:dyDescent="0.2">
      <c r="A400">
        <v>18</v>
      </c>
      <c r="B400" s="7" t="s">
        <v>168</v>
      </c>
      <c r="C400" s="4" t="s">
        <v>40</v>
      </c>
      <c r="D400" t="s">
        <v>177</v>
      </c>
      <c r="F400" t="s">
        <v>182</v>
      </c>
      <c r="G400" t="s">
        <v>68</v>
      </c>
      <c r="H400" s="22">
        <v>-179.62</v>
      </c>
      <c r="I400" s="22">
        <v>-199.11</v>
      </c>
      <c r="J400" s="27">
        <f>H400/I400-1</f>
        <v>-9.7885590879413398E-2</v>
      </c>
    </row>
    <row r="401" spans="1:10" x14ac:dyDescent="0.2">
      <c r="A401">
        <v>18</v>
      </c>
      <c r="B401" s="7" t="s">
        <v>168</v>
      </c>
      <c r="C401" s="4" t="s">
        <v>40</v>
      </c>
      <c r="D401" t="s">
        <v>179</v>
      </c>
      <c r="F401" t="s">
        <v>182</v>
      </c>
      <c r="G401" t="s">
        <v>68</v>
      </c>
      <c r="H401" s="22">
        <v>-179.62</v>
      </c>
      <c r="I401" s="22">
        <v>-199.11</v>
      </c>
      <c r="J401" s="27">
        <f>H401/I401-1</f>
        <v>-9.7885590879413398E-2</v>
      </c>
    </row>
    <row r="402" spans="1:10" x14ac:dyDescent="0.2">
      <c r="A402">
        <v>18</v>
      </c>
      <c r="B402" s="7" t="s">
        <v>168</v>
      </c>
      <c r="C402" s="4" t="s">
        <v>117</v>
      </c>
      <c r="D402" t="s">
        <v>169</v>
      </c>
      <c r="F402" t="s">
        <v>183</v>
      </c>
      <c r="G402" t="s">
        <v>70</v>
      </c>
      <c r="H402">
        <v>6878.94</v>
      </c>
      <c r="I402">
        <v>6013.55</v>
      </c>
      <c r="J402" s="27">
        <f>H402/I402-1</f>
        <v>0.14390667742015939</v>
      </c>
    </row>
    <row r="403" spans="1:10" x14ac:dyDescent="0.2">
      <c r="A403">
        <v>18</v>
      </c>
      <c r="B403" s="7" t="s">
        <v>168</v>
      </c>
      <c r="C403" s="4" t="s">
        <v>117</v>
      </c>
      <c r="D403" t="s">
        <v>171</v>
      </c>
      <c r="F403" t="s">
        <v>183</v>
      </c>
      <c r="G403" t="s">
        <v>70</v>
      </c>
      <c r="H403">
        <v>5409.47</v>
      </c>
      <c r="I403">
        <v>4927.16</v>
      </c>
      <c r="J403" s="27">
        <f>H403/I403-1</f>
        <v>9.7888032862744501E-2</v>
      </c>
    </row>
    <row r="404" spans="1:10" x14ac:dyDescent="0.2">
      <c r="A404">
        <v>18</v>
      </c>
      <c r="B404" s="7" t="s">
        <v>168</v>
      </c>
      <c r="C404" s="4" t="s">
        <v>117</v>
      </c>
      <c r="D404" t="s">
        <v>172</v>
      </c>
      <c r="F404" t="s">
        <v>183</v>
      </c>
      <c r="G404" t="s">
        <v>70</v>
      </c>
      <c r="J404" s="27"/>
    </row>
    <row r="405" spans="1:10" x14ac:dyDescent="0.2">
      <c r="A405">
        <v>18</v>
      </c>
      <c r="B405" s="7" t="s">
        <v>168</v>
      </c>
      <c r="C405" s="4" t="s">
        <v>117</v>
      </c>
      <c r="D405" s="12" t="s">
        <v>173</v>
      </c>
      <c r="G405" t="s">
        <v>70</v>
      </c>
      <c r="J405" s="27"/>
    </row>
    <row r="406" spans="1:10" x14ac:dyDescent="0.2">
      <c r="A406">
        <v>18</v>
      </c>
      <c r="B406" s="7" t="s">
        <v>168</v>
      </c>
      <c r="C406" s="4" t="s">
        <v>117</v>
      </c>
      <c r="D406" t="s">
        <v>174</v>
      </c>
      <c r="F406" t="s">
        <v>184</v>
      </c>
      <c r="G406" t="s">
        <v>70</v>
      </c>
      <c r="H406">
        <v>3783.2</v>
      </c>
      <c r="I406">
        <v>3041.71</v>
      </c>
      <c r="J406" s="27">
        <f>H406/I406-1</f>
        <v>0.2437740613010444</v>
      </c>
    </row>
    <row r="407" spans="1:10" x14ac:dyDescent="0.2">
      <c r="A407">
        <v>18</v>
      </c>
      <c r="B407" s="7" t="s">
        <v>168</v>
      </c>
      <c r="C407" s="4" t="s">
        <v>117</v>
      </c>
      <c r="D407" s="12" t="s">
        <v>176</v>
      </c>
      <c r="G407" t="s">
        <v>70</v>
      </c>
      <c r="J407" s="27"/>
    </row>
    <row r="408" spans="1:10" x14ac:dyDescent="0.2">
      <c r="A408">
        <v>18</v>
      </c>
      <c r="B408" s="7" t="s">
        <v>168</v>
      </c>
      <c r="C408" s="4" t="s">
        <v>117</v>
      </c>
      <c r="D408" t="s">
        <v>177</v>
      </c>
      <c r="F408" t="s">
        <v>185</v>
      </c>
      <c r="G408" t="s">
        <v>70</v>
      </c>
      <c r="H408" s="22">
        <v>-89.33</v>
      </c>
      <c r="I408" s="22">
        <v>14.49</v>
      </c>
      <c r="J408" s="27">
        <f>H408/I408-1</f>
        <v>-7.1649413388543826</v>
      </c>
    </row>
    <row r="409" spans="1:10" x14ac:dyDescent="0.2">
      <c r="A409">
        <v>18</v>
      </c>
      <c r="B409" s="7" t="s">
        <v>168</v>
      </c>
      <c r="C409" s="4" t="s">
        <v>117</v>
      </c>
      <c r="D409" t="s">
        <v>179</v>
      </c>
      <c r="F409" t="s">
        <v>185</v>
      </c>
      <c r="G409" t="s">
        <v>70</v>
      </c>
      <c r="H409" s="22">
        <v>-66.61</v>
      </c>
      <c r="I409" s="22">
        <v>10.83</v>
      </c>
      <c r="J409" s="27">
        <f>H409/I409-1</f>
        <v>-7.1505078485687905</v>
      </c>
    </row>
    <row r="410" spans="1:10" x14ac:dyDescent="0.2">
      <c r="A410">
        <v>18</v>
      </c>
      <c r="B410" s="7" t="s">
        <v>168</v>
      </c>
      <c r="C410" s="4" t="s">
        <v>119</v>
      </c>
      <c r="D410" t="s">
        <v>169</v>
      </c>
      <c r="F410" t="s">
        <v>186</v>
      </c>
      <c r="G410" t="s">
        <v>79</v>
      </c>
      <c r="H410">
        <v>12638.21</v>
      </c>
      <c r="I410">
        <v>11603.13</v>
      </c>
      <c r="J410" s="27">
        <f>H410/I410-1</f>
        <v>8.9206963982994214E-2</v>
      </c>
    </row>
    <row r="411" spans="1:10" x14ac:dyDescent="0.2">
      <c r="A411">
        <v>18</v>
      </c>
      <c r="B411" s="7" t="s">
        <v>168</v>
      </c>
      <c r="C411" s="4" t="s">
        <v>119</v>
      </c>
      <c r="D411" t="s">
        <v>171</v>
      </c>
      <c r="F411" t="s">
        <v>186</v>
      </c>
      <c r="G411" t="s">
        <v>79</v>
      </c>
      <c r="H411">
        <v>12051.68</v>
      </c>
      <c r="I411">
        <v>10705.65</v>
      </c>
      <c r="J411" s="27">
        <f>H411/I411-1</f>
        <v>0.12573080569605777</v>
      </c>
    </row>
    <row r="412" spans="1:10" x14ac:dyDescent="0.2">
      <c r="A412">
        <v>18</v>
      </c>
      <c r="B412" s="7" t="s">
        <v>168</v>
      </c>
      <c r="C412" s="4" t="s">
        <v>119</v>
      </c>
      <c r="D412" t="s">
        <v>172</v>
      </c>
      <c r="F412" t="s">
        <v>186</v>
      </c>
      <c r="G412" t="s">
        <v>79</v>
      </c>
      <c r="H412">
        <v>12269.53</v>
      </c>
      <c r="I412">
        <v>11023.88</v>
      </c>
      <c r="J412" s="27">
        <f>H412/I412-1</f>
        <v>0.11299560590282209</v>
      </c>
    </row>
    <row r="413" spans="1:10" x14ac:dyDescent="0.2">
      <c r="A413">
        <v>18</v>
      </c>
      <c r="B413" s="7" t="s">
        <v>168</v>
      </c>
      <c r="C413" s="4" t="s">
        <v>119</v>
      </c>
      <c r="D413" s="12" t="s">
        <v>173</v>
      </c>
      <c r="G413" t="s">
        <v>79</v>
      </c>
      <c r="J413" s="27"/>
    </row>
    <row r="414" spans="1:10" x14ac:dyDescent="0.2">
      <c r="A414">
        <v>18</v>
      </c>
      <c r="B414" s="7" t="s">
        <v>168</v>
      </c>
      <c r="C414" s="4" t="s">
        <v>119</v>
      </c>
      <c r="D414" t="s">
        <v>174</v>
      </c>
      <c r="F414" t="s">
        <v>187</v>
      </c>
      <c r="G414" t="s">
        <v>79</v>
      </c>
      <c r="H414">
        <v>8570.1299999999992</v>
      </c>
      <c r="I414">
        <v>7789.26</v>
      </c>
      <c r="J414" s="27">
        <f>H414/I414-1</f>
        <v>0.10024957441400062</v>
      </c>
    </row>
    <row r="415" spans="1:10" x14ac:dyDescent="0.2">
      <c r="A415">
        <v>18</v>
      </c>
      <c r="B415" s="7" t="s">
        <v>168</v>
      </c>
      <c r="C415" s="4" t="s">
        <v>119</v>
      </c>
      <c r="D415" s="12" t="s">
        <v>176</v>
      </c>
      <c r="G415" t="s">
        <v>79</v>
      </c>
      <c r="J415" s="27"/>
    </row>
    <row r="416" spans="1:10" x14ac:dyDescent="0.2">
      <c r="A416">
        <v>18</v>
      </c>
      <c r="B416" s="7" t="s">
        <v>168</v>
      </c>
      <c r="C416" s="4" t="s">
        <v>119</v>
      </c>
      <c r="D416" t="s">
        <v>177</v>
      </c>
      <c r="F416" t="s">
        <v>188</v>
      </c>
      <c r="G416" t="s">
        <v>79</v>
      </c>
      <c r="H416" s="22">
        <v>603.12</v>
      </c>
      <c r="I416" s="22">
        <v>861.92</v>
      </c>
      <c r="J416" s="27">
        <f>H416/I416-1</f>
        <v>-0.30025988490811206</v>
      </c>
    </row>
    <row r="417" spans="1:10" x14ac:dyDescent="0.2">
      <c r="A417">
        <v>18</v>
      </c>
      <c r="B417" s="7" t="s">
        <v>168</v>
      </c>
      <c r="C417" s="4" t="s">
        <v>119</v>
      </c>
      <c r="D417" t="s">
        <v>179</v>
      </c>
      <c r="F417" t="s">
        <v>188</v>
      </c>
      <c r="G417" t="s">
        <v>79</v>
      </c>
      <c r="H417" s="22">
        <v>445.65</v>
      </c>
      <c r="I417" s="22">
        <v>645.35</v>
      </c>
      <c r="J417" s="27">
        <f>H417/I417-1</f>
        <v>-0.30944448748741005</v>
      </c>
    </row>
    <row r="418" spans="1:10" x14ac:dyDescent="0.2">
      <c r="A418">
        <v>18</v>
      </c>
      <c r="B418" s="7" t="s">
        <v>168</v>
      </c>
      <c r="C418" s="4" t="s">
        <v>43</v>
      </c>
      <c r="D418" t="s">
        <v>169</v>
      </c>
      <c r="F418" t="s">
        <v>189</v>
      </c>
      <c r="G418" t="s">
        <v>74</v>
      </c>
      <c r="H418">
        <v>1545.42</v>
      </c>
      <c r="I418">
        <v>1209.68</v>
      </c>
      <c r="J418" s="27">
        <f>H418/I418-1</f>
        <v>0.27754447457178766</v>
      </c>
    </row>
    <row r="419" spans="1:10" x14ac:dyDescent="0.2">
      <c r="A419">
        <v>18</v>
      </c>
      <c r="B419" s="7" t="s">
        <v>168</v>
      </c>
      <c r="C419" s="4" t="s">
        <v>43</v>
      </c>
      <c r="D419" t="s">
        <v>171</v>
      </c>
      <c r="F419" t="s">
        <v>189</v>
      </c>
      <c r="G419" t="s">
        <v>74</v>
      </c>
      <c r="H419">
        <v>1662.66</v>
      </c>
      <c r="I419">
        <v>1157.77</v>
      </c>
      <c r="J419" s="27">
        <f>H419/I419-1</f>
        <v>0.43608834224414195</v>
      </c>
    </row>
    <row r="420" spans="1:10" x14ac:dyDescent="0.2">
      <c r="A420">
        <v>18</v>
      </c>
      <c r="B420" s="7" t="s">
        <v>168</v>
      </c>
      <c r="C420" s="4" t="s">
        <v>43</v>
      </c>
      <c r="D420" t="s">
        <v>172</v>
      </c>
      <c r="F420" t="s">
        <v>189</v>
      </c>
      <c r="G420" t="s">
        <v>74</v>
      </c>
      <c r="H420">
        <v>1410.35</v>
      </c>
      <c r="I420">
        <v>1125.06</v>
      </c>
      <c r="J420" s="27">
        <f>H420/I420-1</f>
        <v>0.25357758697313915</v>
      </c>
    </row>
    <row r="421" spans="1:10" x14ac:dyDescent="0.2">
      <c r="A421">
        <v>18</v>
      </c>
      <c r="B421" s="7" t="s">
        <v>168</v>
      </c>
      <c r="C421" s="4" t="s">
        <v>43</v>
      </c>
      <c r="D421" s="12" t="s">
        <v>173</v>
      </c>
      <c r="G421" t="s">
        <v>74</v>
      </c>
      <c r="J421" s="27"/>
    </row>
    <row r="422" spans="1:10" x14ac:dyDescent="0.2">
      <c r="A422">
        <v>18</v>
      </c>
      <c r="B422" s="7" t="s">
        <v>168</v>
      </c>
      <c r="C422" s="4" t="s">
        <v>43</v>
      </c>
      <c r="D422" t="s">
        <v>174</v>
      </c>
      <c r="F422" t="s">
        <v>190</v>
      </c>
      <c r="G422" t="s">
        <v>74</v>
      </c>
      <c r="H422">
        <v>1360.31</v>
      </c>
      <c r="I422" s="22">
        <v>888.25</v>
      </c>
      <c r="J422" s="27">
        <f>H422/I422-1</f>
        <v>0.53144947931325626</v>
      </c>
    </row>
    <row r="423" spans="1:10" x14ac:dyDescent="0.2">
      <c r="A423">
        <v>18</v>
      </c>
      <c r="B423" s="7" t="s">
        <v>168</v>
      </c>
      <c r="C423" s="4" t="s">
        <v>43</v>
      </c>
      <c r="D423" s="12" t="s">
        <v>176</v>
      </c>
      <c r="G423" t="s">
        <v>74</v>
      </c>
      <c r="J423" s="27"/>
    </row>
    <row r="424" spans="1:10" x14ac:dyDescent="0.2">
      <c r="A424">
        <v>18</v>
      </c>
      <c r="B424" s="7" t="s">
        <v>168</v>
      </c>
      <c r="C424" s="4" t="s">
        <v>43</v>
      </c>
      <c r="D424" t="s">
        <v>177</v>
      </c>
      <c r="F424" t="s">
        <v>191</v>
      </c>
      <c r="G424" t="s">
        <v>74</v>
      </c>
      <c r="H424" s="22">
        <v>-444.71</v>
      </c>
      <c r="I424" s="22">
        <v>-215.08</v>
      </c>
      <c r="J424" s="27">
        <f>H424/I424-1</f>
        <v>1.0676492467918912</v>
      </c>
    </row>
    <row r="425" spans="1:10" x14ac:dyDescent="0.2">
      <c r="A425">
        <v>18</v>
      </c>
      <c r="B425" s="7" t="s">
        <v>168</v>
      </c>
      <c r="C425" s="4" t="s">
        <v>43</v>
      </c>
      <c r="D425" t="s">
        <v>179</v>
      </c>
      <c r="F425" t="s">
        <v>191</v>
      </c>
      <c r="G425" t="s">
        <v>74</v>
      </c>
      <c r="H425" s="22">
        <v>-444.71</v>
      </c>
      <c r="I425" s="22">
        <v>-215.08</v>
      </c>
      <c r="J425" s="27">
        <f>H425/I425-1</f>
        <v>1.0676492467918912</v>
      </c>
    </row>
    <row r="426" spans="1:10" x14ac:dyDescent="0.2">
      <c r="A426">
        <v>18</v>
      </c>
      <c r="B426" s="7" t="s">
        <v>168</v>
      </c>
      <c r="C426" s="4" t="s">
        <v>75</v>
      </c>
      <c r="D426" t="s">
        <v>169</v>
      </c>
      <c r="F426" t="s">
        <v>192</v>
      </c>
      <c r="G426" t="s">
        <v>77</v>
      </c>
      <c r="H426" s="30">
        <v>23.9498</v>
      </c>
      <c r="I426" s="25">
        <v>0.65010000000000001</v>
      </c>
      <c r="J426" s="27">
        <f>H426/I426-1</f>
        <v>35.840178434087065</v>
      </c>
    </row>
    <row r="427" spans="1:10" x14ac:dyDescent="0.2">
      <c r="A427">
        <v>18</v>
      </c>
      <c r="B427" s="7" t="s">
        <v>168</v>
      </c>
      <c r="C427" s="4" t="s">
        <v>75</v>
      </c>
      <c r="D427" t="s">
        <v>171</v>
      </c>
      <c r="F427" t="s">
        <v>192</v>
      </c>
      <c r="G427" t="s">
        <v>77</v>
      </c>
      <c r="H427" s="30">
        <v>22.991800000000001</v>
      </c>
      <c r="I427" s="25">
        <v>0.62409999999999999</v>
      </c>
      <c r="J427" s="27">
        <f>H427/I427-1</f>
        <v>35.839929498477808</v>
      </c>
    </row>
    <row r="428" spans="1:10" x14ac:dyDescent="0.2">
      <c r="A428">
        <v>18</v>
      </c>
      <c r="B428" s="7" t="s">
        <v>168</v>
      </c>
      <c r="C428" s="4" t="s">
        <v>75</v>
      </c>
      <c r="D428" t="s">
        <v>172</v>
      </c>
      <c r="F428" t="s">
        <v>192</v>
      </c>
      <c r="G428" t="s">
        <v>77</v>
      </c>
      <c r="H428" s="30">
        <v>11.7995</v>
      </c>
      <c r="I428" s="25">
        <v>0.31209999999999999</v>
      </c>
      <c r="J428" s="27">
        <f>H428/I428-1</f>
        <v>36.806792694649154</v>
      </c>
    </row>
    <row r="429" spans="1:10" x14ac:dyDescent="0.2">
      <c r="A429">
        <v>18</v>
      </c>
      <c r="B429" s="7" t="s">
        <v>168</v>
      </c>
      <c r="C429" s="4" t="s">
        <v>75</v>
      </c>
      <c r="D429" s="12" t="s">
        <v>173</v>
      </c>
      <c r="G429" t="s">
        <v>77</v>
      </c>
      <c r="J429" s="27"/>
    </row>
    <row r="430" spans="1:10" x14ac:dyDescent="0.2">
      <c r="A430">
        <v>18</v>
      </c>
      <c r="B430" s="7" t="s">
        <v>168</v>
      </c>
      <c r="C430" s="4" t="s">
        <v>75</v>
      </c>
      <c r="D430" t="s">
        <v>174</v>
      </c>
      <c r="F430" t="s">
        <v>193</v>
      </c>
      <c r="G430" t="s">
        <v>77</v>
      </c>
      <c r="H430" s="25">
        <v>9.246599999999999</v>
      </c>
      <c r="I430" s="25">
        <v>0.2185</v>
      </c>
      <c r="J430" s="27">
        <f>H430/I430-1</f>
        <v>41.318535469107545</v>
      </c>
    </row>
    <row r="431" spans="1:10" x14ac:dyDescent="0.2">
      <c r="A431">
        <v>18</v>
      </c>
      <c r="B431" s="7" t="s">
        <v>168</v>
      </c>
      <c r="C431" s="4" t="s">
        <v>75</v>
      </c>
      <c r="D431" s="12" t="s">
        <v>176</v>
      </c>
      <c r="G431" t="s">
        <v>77</v>
      </c>
      <c r="J431" s="27"/>
    </row>
    <row r="432" spans="1:10" x14ac:dyDescent="0.2">
      <c r="A432">
        <v>18</v>
      </c>
      <c r="B432" s="7" t="s">
        <v>168</v>
      </c>
      <c r="C432" s="4" t="s">
        <v>75</v>
      </c>
      <c r="D432" t="s">
        <v>177</v>
      </c>
      <c r="F432" t="s">
        <v>194</v>
      </c>
      <c r="G432" t="s">
        <v>77</v>
      </c>
      <c r="H432">
        <v>-13.3413</v>
      </c>
      <c r="I432">
        <v>-6.3825000000000003</v>
      </c>
      <c r="J432" s="27">
        <f>H432/I432-1</f>
        <v>1.0902937720329025</v>
      </c>
    </row>
    <row r="433" spans="1:10" x14ac:dyDescent="0.2">
      <c r="A433">
        <v>18</v>
      </c>
      <c r="B433" s="7" t="s">
        <v>168</v>
      </c>
      <c r="C433" s="4" t="s">
        <v>75</v>
      </c>
      <c r="D433" t="s">
        <v>179</v>
      </c>
      <c r="F433" t="s">
        <v>194</v>
      </c>
      <c r="G433" t="s">
        <v>77</v>
      </c>
      <c r="H433">
        <v>-13.3413</v>
      </c>
      <c r="I433">
        <v>-6.3825000000000003</v>
      </c>
      <c r="J433" s="27">
        <f>H433/I433-1</f>
        <v>1.0902937720329025</v>
      </c>
    </row>
    <row r="434" spans="1:10" x14ac:dyDescent="0.2">
      <c r="A434">
        <v>18</v>
      </c>
      <c r="B434" s="7" t="s">
        <v>168</v>
      </c>
      <c r="C434" s="4" t="s">
        <v>42</v>
      </c>
      <c r="D434" t="s">
        <v>169</v>
      </c>
      <c r="F434" t="s">
        <v>195</v>
      </c>
      <c r="G434" t="s">
        <v>72</v>
      </c>
      <c r="H434" s="25">
        <v>75.897899999999993</v>
      </c>
      <c r="I434" s="25">
        <v>2.3780000000000001</v>
      </c>
      <c r="J434" s="27">
        <f>H434/I434-1</f>
        <v>30.916694701429769</v>
      </c>
    </row>
    <row r="435" spans="1:10" x14ac:dyDescent="0.2">
      <c r="A435">
        <v>18</v>
      </c>
      <c r="B435" s="7" t="s">
        <v>168</v>
      </c>
      <c r="C435" s="4" t="s">
        <v>42</v>
      </c>
      <c r="D435" t="s">
        <v>171</v>
      </c>
      <c r="F435" t="s">
        <v>195</v>
      </c>
      <c r="G435" t="s">
        <v>72</v>
      </c>
      <c r="H435" s="30">
        <v>72.213700000000003</v>
      </c>
      <c r="I435" s="25">
        <v>2.2033999999999998</v>
      </c>
      <c r="J435" s="27">
        <f>H435/I435-1</f>
        <v>31.773758736498145</v>
      </c>
    </row>
    <row r="436" spans="1:10" x14ac:dyDescent="0.2">
      <c r="A436">
        <v>18</v>
      </c>
      <c r="B436" s="7" t="s">
        <v>168</v>
      </c>
      <c r="C436" s="4" t="s">
        <v>42</v>
      </c>
      <c r="D436" t="s">
        <v>172</v>
      </c>
      <c r="F436" t="s">
        <v>195</v>
      </c>
      <c r="G436" t="s">
        <v>72</v>
      </c>
      <c r="H436" s="30">
        <v>37.190300000000001</v>
      </c>
      <c r="I436" s="25">
        <v>1.0620000000000001</v>
      </c>
      <c r="J436" s="27">
        <f>H436/I436-1</f>
        <v>34.019114877589452</v>
      </c>
    </row>
    <row r="437" spans="1:10" x14ac:dyDescent="0.2">
      <c r="A437">
        <v>18</v>
      </c>
      <c r="B437" s="7" t="s">
        <v>168</v>
      </c>
      <c r="C437" s="4" t="s">
        <v>42</v>
      </c>
      <c r="D437" s="12" t="s">
        <v>173</v>
      </c>
      <c r="G437" t="s">
        <v>72</v>
      </c>
      <c r="J437" s="27"/>
    </row>
    <row r="438" spans="1:10" x14ac:dyDescent="0.2">
      <c r="A438">
        <v>18</v>
      </c>
      <c r="B438" s="7" t="s">
        <v>168</v>
      </c>
      <c r="C438" s="4" t="s">
        <v>42</v>
      </c>
      <c r="D438" t="s">
        <v>174</v>
      </c>
      <c r="F438" t="s">
        <v>196</v>
      </c>
      <c r="G438" t="s">
        <v>72</v>
      </c>
      <c r="H438" s="30">
        <v>12.2202</v>
      </c>
      <c r="I438" s="25">
        <v>0.1116</v>
      </c>
      <c r="J438" s="27"/>
    </row>
    <row r="439" spans="1:10" x14ac:dyDescent="0.2">
      <c r="A439">
        <v>18</v>
      </c>
      <c r="B439" s="7" t="s">
        <v>168</v>
      </c>
      <c r="C439" s="4" t="s">
        <v>42</v>
      </c>
      <c r="D439" s="12" t="s">
        <v>176</v>
      </c>
      <c r="G439" t="s">
        <v>72</v>
      </c>
      <c r="J439" s="27"/>
    </row>
    <row r="440" spans="1:10" x14ac:dyDescent="0.2">
      <c r="A440">
        <v>18</v>
      </c>
      <c r="B440" s="7" t="s">
        <v>168</v>
      </c>
      <c r="C440" s="4" t="s">
        <v>42</v>
      </c>
      <c r="D440" t="s">
        <v>177</v>
      </c>
      <c r="F440" t="s">
        <v>197</v>
      </c>
      <c r="G440" t="s">
        <v>72</v>
      </c>
      <c r="H440">
        <v>-75.568799999999996</v>
      </c>
      <c r="I440">
        <v>-30.989000000000001</v>
      </c>
      <c r="J440" s="27">
        <f>H440/I440-1</f>
        <v>1.4385685243150794</v>
      </c>
    </row>
    <row r="441" spans="1:10" x14ac:dyDescent="0.2">
      <c r="A441">
        <v>18</v>
      </c>
      <c r="B441" s="7" t="s">
        <v>168</v>
      </c>
      <c r="C441" s="4" t="s">
        <v>42</v>
      </c>
      <c r="D441" t="s">
        <v>179</v>
      </c>
      <c r="F441" t="s">
        <v>197</v>
      </c>
      <c r="G441" t="s">
        <v>72</v>
      </c>
      <c r="H441">
        <v>-75.568799999999996</v>
      </c>
      <c r="I441">
        <v>-30.989000000000001</v>
      </c>
      <c r="J441" s="27">
        <f>H441/I441-1</f>
        <v>1.4385685243150794</v>
      </c>
    </row>
    <row r="442" spans="1:10" x14ac:dyDescent="0.2">
      <c r="A442">
        <v>19</v>
      </c>
      <c r="B442" s="7" t="s">
        <v>198</v>
      </c>
      <c r="C442" s="4" t="s">
        <v>107</v>
      </c>
      <c r="D442" t="s">
        <v>199</v>
      </c>
      <c r="F442" t="s">
        <v>200</v>
      </c>
      <c r="G442" t="s">
        <v>66</v>
      </c>
      <c r="H442" s="31">
        <v>1.1188</v>
      </c>
      <c r="I442" s="31">
        <v>1.0504</v>
      </c>
      <c r="J442" s="31">
        <f t="shared" ref="J442:J462" si="10">H442-I442</f>
        <v>6.8400000000000016E-2</v>
      </c>
    </row>
    <row r="443" spans="1:10" x14ac:dyDescent="0.2">
      <c r="A443">
        <v>19</v>
      </c>
      <c r="B443" s="7" t="s">
        <v>198</v>
      </c>
      <c r="C443" s="4" t="s">
        <v>119</v>
      </c>
      <c r="D443" t="s">
        <v>199</v>
      </c>
      <c r="F443" t="s">
        <v>201</v>
      </c>
      <c r="G443" t="s">
        <v>79</v>
      </c>
      <c r="H443" s="31">
        <v>1.0267999999999999</v>
      </c>
      <c r="I443" s="31">
        <v>1.0181</v>
      </c>
      <c r="J443" s="31">
        <f t="shared" si="10"/>
        <v>8.69999999999993E-3</v>
      </c>
    </row>
    <row r="444" spans="1:10" x14ac:dyDescent="0.2">
      <c r="A444">
        <v>19</v>
      </c>
      <c r="B444" s="7" t="s">
        <v>198</v>
      </c>
      <c r="C444" s="4" t="s">
        <v>117</v>
      </c>
      <c r="D444" t="s">
        <v>199</v>
      </c>
      <c r="F444" t="s">
        <v>202</v>
      </c>
      <c r="G444" t="s">
        <v>70</v>
      </c>
      <c r="H444" s="31">
        <v>1.1000000000000001</v>
      </c>
      <c r="I444" s="31">
        <v>1.05</v>
      </c>
      <c r="J444" s="31">
        <f t="shared" si="10"/>
        <v>5.0000000000000044E-2</v>
      </c>
    </row>
    <row r="445" spans="1:10" x14ac:dyDescent="0.2">
      <c r="A445">
        <v>19</v>
      </c>
      <c r="B445" s="7" t="s">
        <v>198</v>
      </c>
      <c r="C445" s="4" t="s">
        <v>43</v>
      </c>
      <c r="D445" t="s">
        <v>199</v>
      </c>
      <c r="F445" t="s">
        <v>203</v>
      </c>
      <c r="G445" t="s">
        <v>74</v>
      </c>
      <c r="H445" s="31">
        <v>1.33</v>
      </c>
      <c r="I445" s="31">
        <v>1.26</v>
      </c>
      <c r="J445" s="31">
        <f t="shared" si="10"/>
        <v>7.0000000000000062E-2</v>
      </c>
    </row>
    <row r="446" spans="1:10" x14ac:dyDescent="0.2">
      <c r="A446">
        <v>19</v>
      </c>
      <c r="B446" s="7" t="s">
        <v>198</v>
      </c>
      <c r="C446" s="4" t="s">
        <v>40</v>
      </c>
      <c r="D446" s="7" t="s">
        <v>199</v>
      </c>
      <c r="F446" t="s">
        <v>204</v>
      </c>
      <c r="G446" t="s">
        <v>68</v>
      </c>
      <c r="H446" s="31">
        <v>1.1100000000000001</v>
      </c>
      <c r="I446" s="31">
        <v>1.1299999999999999</v>
      </c>
      <c r="J446" s="31">
        <f t="shared" si="10"/>
        <v>-1.9999999999999796E-2</v>
      </c>
    </row>
    <row r="447" spans="1:10" x14ac:dyDescent="0.2">
      <c r="A447">
        <v>19</v>
      </c>
      <c r="B447" s="7" t="s">
        <v>198</v>
      </c>
      <c r="C447" s="4" t="s">
        <v>75</v>
      </c>
      <c r="D447" s="7" t="s">
        <v>199</v>
      </c>
      <c r="F447" t="s">
        <v>205</v>
      </c>
      <c r="G447" t="s">
        <v>77</v>
      </c>
      <c r="H447" s="32">
        <v>1.28</v>
      </c>
      <c r="I447" s="33">
        <v>17.649999999999999</v>
      </c>
      <c r="J447" s="31">
        <f t="shared" si="10"/>
        <v>-16.369999999999997</v>
      </c>
    </row>
    <row r="448" spans="1:10" x14ac:dyDescent="0.2">
      <c r="A448">
        <v>19</v>
      </c>
      <c r="B448" s="7" t="s">
        <v>198</v>
      </c>
      <c r="C448" s="4" t="s">
        <v>42</v>
      </c>
      <c r="D448" s="7" t="s">
        <v>199</v>
      </c>
      <c r="F448" t="s">
        <v>206</v>
      </c>
      <c r="G448" t="s">
        <v>72</v>
      </c>
      <c r="H448" s="31">
        <v>1.9000999999999999</v>
      </c>
      <c r="I448" s="31">
        <v>21.447399999999998</v>
      </c>
      <c r="J448" s="31">
        <f t="shared" si="10"/>
        <v>-19.5473</v>
      </c>
    </row>
    <row r="449" spans="1:10" x14ac:dyDescent="0.2">
      <c r="A449">
        <v>19</v>
      </c>
      <c r="B449" s="7" t="s">
        <v>198</v>
      </c>
      <c r="C449" s="4" t="s">
        <v>107</v>
      </c>
      <c r="D449" t="s">
        <v>207</v>
      </c>
      <c r="F449" t="s">
        <v>200</v>
      </c>
      <c r="G449" t="s">
        <v>66</v>
      </c>
      <c r="H449" s="31">
        <f t="shared" ref="H449:I455" si="11">H442-H456</f>
        <v>0.3831</v>
      </c>
      <c r="I449" s="31">
        <f t="shared" si="11"/>
        <v>0.4163</v>
      </c>
      <c r="J449" s="31">
        <f t="shared" si="10"/>
        <v>-3.3200000000000007E-2</v>
      </c>
    </row>
    <row r="450" spans="1:10" x14ac:dyDescent="0.2">
      <c r="A450">
        <v>19</v>
      </c>
      <c r="B450" s="7" t="s">
        <v>198</v>
      </c>
      <c r="C450" s="4" t="s">
        <v>119</v>
      </c>
      <c r="D450" t="s">
        <v>207</v>
      </c>
      <c r="F450" t="s">
        <v>201</v>
      </c>
      <c r="G450" t="s">
        <v>79</v>
      </c>
      <c r="H450" s="31">
        <f t="shared" si="11"/>
        <v>0.32829999999999993</v>
      </c>
      <c r="I450" s="31">
        <f t="shared" si="11"/>
        <v>0.3115</v>
      </c>
      <c r="J450" s="31">
        <f t="shared" si="10"/>
        <v>1.6799999999999926E-2</v>
      </c>
    </row>
    <row r="451" spans="1:10" x14ac:dyDescent="0.2">
      <c r="A451">
        <v>19</v>
      </c>
      <c r="B451" s="7" t="s">
        <v>198</v>
      </c>
      <c r="C451" s="4" t="s">
        <v>117</v>
      </c>
      <c r="D451" t="s">
        <v>207</v>
      </c>
      <c r="F451" t="s">
        <v>202</v>
      </c>
      <c r="G451" t="s">
        <v>70</v>
      </c>
      <c r="H451" s="31">
        <f t="shared" si="11"/>
        <v>0.3600000000000001</v>
      </c>
      <c r="I451" s="31">
        <f t="shared" si="11"/>
        <v>0.38</v>
      </c>
      <c r="J451" s="31">
        <f t="shared" si="10"/>
        <v>-1.9999999999999907E-2</v>
      </c>
    </row>
    <row r="452" spans="1:10" x14ac:dyDescent="0.2">
      <c r="A452">
        <v>19</v>
      </c>
      <c r="B452" s="7" t="s">
        <v>198</v>
      </c>
      <c r="C452" s="4" t="s">
        <v>43</v>
      </c>
      <c r="D452" t="s">
        <v>207</v>
      </c>
      <c r="F452" t="s">
        <v>203</v>
      </c>
      <c r="G452" t="s">
        <v>74</v>
      </c>
      <c r="H452" s="31">
        <f t="shared" si="11"/>
        <v>0.37000000000000011</v>
      </c>
      <c r="I452" s="31">
        <f t="shared" si="11"/>
        <v>0.47</v>
      </c>
      <c r="J452" s="31">
        <f t="shared" si="10"/>
        <v>-9.9999999999999867E-2</v>
      </c>
    </row>
    <row r="453" spans="1:10" x14ac:dyDescent="0.2">
      <c r="A453">
        <v>19</v>
      </c>
      <c r="B453" s="7" t="s">
        <v>198</v>
      </c>
      <c r="C453" s="4" t="s">
        <v>40</v>
      </c>
      <c r="D453" t="s">
        <v>207</v>
      </c>
      <c r="F453" t="s">
        <v>204</v>
      </c>
      <c r="G453" t="s">
        <v>68</v>
      </c>
      <c r="H453" s="31">
        <f t="shared" si="11"/>
        <v>0.28000000000000014</v>
      </c>
      <c r="I453" s="31">
        <f t="shared" si="11"/>
        <v>0.35999999999999988</v>
      </c>
      <c r="J453" s="31">
        <f t="shared" si="10"/>
        <v>-7.9999999999999738E-2</v>
      </c>
    </row>
    <row r="454" spans="1:10" x14ac:dyDescent="0.2">
      <c r="A454">
        <v>19</v>
      </c>
      <c r="B454" s="7" t="s">
        <v>198</v>
      </c>
      <c r="C454" s="4" t="s">
        <v>75</v>
      </c>
      <c r="D454" t="s">
        <v>207</v>
      </c>
      <c r="F454" t="s">
        <v>205</v>
      </c>
      <c r="G454" t="s">
        <v>77</v>
      </c>
      <c r="H454" s="31">
        <f t="shared" si="11"/>
        <v>0.35</v>
      </c>
      <c r="I454" s="31">
        <f t="shared" si="11"/>
        <v>0.33999999999999986</v>
      </c>
      <c r="J454" s="31">
        <f t="shared" si="10"/>
        <v>1.000000000000012E-2</v>
      </c>
    </row>
    <row r="455" spans="1:10" x14ac:dyDescent="0.2">
      <c r="A455">
        <v>19</v>
      </c>
      <c r="B455" s="7" t="s">
        <v>198</v>
      </c>
      <c r="C455" s="4" t="s">
        <v>42</v>
      </c>
      <c r="D455" t="s">
        <v>207</v>
      </c>
      <c r="F455" t="s">
        <v>206</v>
      </c>
      <c r="G455" t="s">
        <v>72</v>
      </c>
      <c r="H455" s="31">
        <f t="shared" si="11"/>
        <v>0.39769999999999994</v>
      </c>
      <c r="I455" s="31">
        <f t="shared" si="11"/>
        <v>1.6685999999999979</v>
      </c>
      <c r="J455" s="31">
        <f t="shared" si="10"/>
        <v>-1.2708999999999979</v>
      </c>
    </row>
    <row r="456" spans="1:10" x14ac:dyDescent="0.2">
      <c r="A456">
        <v>19</v>
      </c>
      <c r="B456" s="7" t="s">
        <v>198</v>
      </c>
      <c r="C456" s="4" t="s">
        <v>107</v>
      </c>
      <c r="D456" t="s">
        <v>208</v>
      </c>
      <c r="F456" t="s">
        <v>200</v>
      </c>
      <c r="G456" t="s">
        <v>66</v>
      </c>
      <c r="H456" s="33">
        <v>0.73570000000000002</v>
      </c>
      <c r="I456" s="33">
        <v>0.6341</v>
      </c>
      <c r="J456" s="31">
        <f t="shared" si="10"/>
        <v>0.10160000000000002</v>
      </c>
    </row>
    <row r="457" spans="1:10" x14ac:dyDescent="0.2">
      <c r="A457">
        <v>19</v>
      </c>
      <c r="B457" s="7" t="s">
        <v>198</v>
      </c>
      <c r="C457" s="4" t="s">
        <v>119</v>
      </c>
      <c r="D457" t="s">
        <v>208</v>
      </c>
      <c r="F457" t="s">
        <v>201</v>
      </c>
      <c r="G457" t="s">
        <v>79</v>
      </c>
      <c r="H457" s="31">
        <v>0.69850000000000001</v>
      </c>
      <c r="I457" s="31">
        <v>0.70660000000000001</v>
      </c>
      <c r="J457" s="31">
        <f t="shared" si="10"/>
        <v>-8.0999999999999961E-3</v>
      </c>
    </row>
    <row r="458" spans="1:10" x14ac:dyDescent="0.2">
      <c r="A458">
        <v>19</v>
      </c>
      <c r="B458" s="7" t="s">
        <v>198</v>
      </c>
      <c r="C458" s="4" t="s">
        <v>117</v>
      </c>
      <c r="D458" t="s">
        <v>208</v>
      </c>
      <c r="F458" t="s">
        <v>202</v>
      </c>
      <c r="G458" t="s">
        <v>70</v>
      </c>
      <c r="H458" s="31">
        <v>0.74</v>
      </c>
      <c r="I458" s="31">
        <v>0.67</v>
      </c>
      <c r="J458" s="31">
        <f t="shared" si="10"/>
        <v>6.9999999999999951E-2</v>
      </c>
    </row>
    <row r="459" spans="1:10" x14ac:dyDescent="0.2">
      <c r="A459">
        <v>19</v>
      </c>
      <c r="B459" s="7" t="s">
        <v>198</v>
      </c>
      <c r="C459" s="4" t="s">
        <v>43</v>
      </c>
      <c r="D459" t="s">
        <v>208</v>
      </c>
      <c r="F459" t="s">
        <v>203</v>
      </c>
      <c r="G459" t="s">
        <v>74</v>
      </c>
      <c r="H459" s="31">
        <v>0.96</v>
      </c>
      <c r="I459" s="31">
        <v>0.79</v>
      </c>
      <c r="J459" s="31">
        <f t="shared" si="10"/>
        <v>0.16999999999999993</v>
      </c>
    </row>
    <row r="460" spans="1:10" x14ac:dyDescent="0.2">
      <c r="A460">
        <v>19</v>
      </c>
      <c r="B460" s="7" t="s">
        <v>198</v>
      </c>
      <c r="C460" s="4" t="s">
        <v>40</v>
      </c>
      <c r="D460" t="s">
        <v>208</v>
      </c>
      <c r="F460" t="s">
        <v>204</v>
      </c>
      <c r="G460" t="s">
        <v>68</v>
      </c>
      <c r="H460" s="31">
        <v>0.83</v>
      </c>
      <c r="I460" s="31">
        <v>0.77</v>
      </c>
      <c r="J460" s="31">
        <f t="shared" si="10"/>
        <v>5.9999999999999942E-2</v>
      </c>
    </row>
    <row r="461" spans="1:10" x14ac:dyDescent="0.2">
      <c r="A461">
        <v>19</v>
      </c>
      <c r="B461" s="7" t="s">
        <v>198</v>
      </c>
      <c r="C461" s="4" t="s">
        <v>75</v>
      </c>
      <c r="D461" t="s">
        <v>208</v>
      </c>
      <c r="F461" t="s">
        <v>205</v>
      </c>
      <c r="G461" t="s">
        <v>77</v>
      </c>
      <c r="H461" s="31">
        <v>0.93</v>
      </c>
      <c r="I461" s="31">
        <v>17.309999999999999</v>
      </c>
      <c r="J461" s="31">
        <f t="shared" si="10"/>
        <v>-16.38</v>
      </c>
    </row>
    <row r="462" spans="1:10" x14ac:dyDescent="0.2">
      <c r="A462">
        <v>19</v>
      </c>
      <c r="B462" s="7" t="s">
        <v>198</v>
      </c>
      <c r="C462" s="4" t="s">
        <v>42</v>
      </c>
      <c r="D462" t="s">
        <v>208</v>
      </c>
      <c r="F462" t="s">
        <v>206</v>
      </c>
      <c r="G462" t="s">
        <v>72</v>
      </c>
      <c r="H462" s="31">
        <v>1.5024</v>
      </c>
      <c r="I462" s="31">
        <v>19.7788</v>
      </c>
      <c r="J462" s="31">
        <f t="shared" si="10"/>
        <v>-18.276399999999999</v>
      </c>
    </row>
    <row r="463" spans="1:10" x14ac:dyDescent="0.2">
      <c r="A463">
        <v>20</v>
      </c>
      <c r="B463" s="7" t="s">
        <v>198</v>
      </c>
      <c r="C463" s="4" t="s">
        <v>107</v>
      </c>
      <c r="D463" t="s">
        <v>209</v>
      </c>
      <c r="F463" t="s">
        <v>210</v>
      </c>
      <c r="G463" t="s">
        <v>66</v>
      </c>
      <c r="H463" s="27">
        <v>0.91347691563214162</v>
      </c>
      <c r="I463" s="27">
        <v>0.89648371369681901</v>
      </c>
    </row>
    <row r="464" spans="1:10" x14ac:dyDescent="0.2">
      <c r="A464">
        <v>20</v>
      </c>
      <c r="B464" s="7" t="s">
        <v>198</v>
      </c>
      <c r="C464" s="4" t="s">
        <v>119</v>
      </c>
      <c r="D464" t="s">
        <v>209</v>
      </c>
      <c r="F464" t="s">
        <v>211</v>
      </c>
      <c r="G464" t="s">
        <v>79</v>
      </c>
      <c r="H464" s="27">
        <v>0.88911921712182473</v>
      </c>
      <c r="I464" s="27">
        <v>0.87774524711952373</v>
      </c>
    </row>
    <row r="465" spans="1:9" x14ac:dyDescent="0.2">
      <c r="A465">
        <v>20</v>
      </c>
      <c r="B465" s="7" t="s">
        <v>198</v>
      </c>
      <c r="C465" s="4" t="s">
        <v>117</v>
      </c>
      <c r="D465" t="s">
        <v>209</v>
      </c>
      <c r="F465" t="s">
        <v>212</v>
      </c>
      <c r="G465" t="s">
        <v>70</v>
      </c>
      <c r="H465" s="27">
        <v>0.9368359700249792</v>
      </c>
      <c r="I465" s="27">
        <v>0.93419829193965354</v>
      </c>
    </row>
    <row r="466" spans="1:9" x14ac:dyDescent="0.2">
      <c r="A466">
        <v>20</v>
      </c>
      <c r="B466" s="7" t="s">
        <v>198</v>
      </c>
      <c r="C466" s="4" t="s">
        <v>43</v>
      </c>
      <c r="D466" t="s">
        <v>209</v>
      </c>
      <c r="F466" t="s">
        <v>213</v>
      </c>
      <c r="G466" t="s">
        <v>74</v>
      </c>
      <c r="H466" s="27">
        <v>0.93850951839914676</v>
      </c>
      <c r="I466" s="27">
        <v>0.86903774854121363</v>
      </c>
    </row>
    <row r="467" spans="1:9" x14ac:dyDescent="0.2">
      <c r="A467">
        <v>20</v>
      </c>
      <c r="B467" s="7" t="s">
        <v>198</v>
      </c>
      <c r="C467" s="4" t="s">
        <v>40</v>
      </c>
      <c r="D467" t="s">
        <v>209</v>
      </c>
      <c r="F467" t="s">
        <v>214</v>
      </c>
      <c r="G467" t="s">
        <v>68</v>
      </c>
      <c r="H467" s="27">
        <v>0.91270257857095993</v>
      </c>
      <c r="I467" s="27">
        <v>0.88811588756704019</v>
      </c>
    </row>
    <row r="468" spans="1:9" x14ac:dyDescent="0.2">
      <c r="A468">
        <v>20</v>
      </c>
      <c r="B468" s="7" t="s">
        <v>198</v>
      </c>
      <c r="C468" s="4" t="s">
        <v>75</v>
      </c>
      <c r="D468" t="s">
        <v>209</v>
      </c>
      <c r="F468" t="s">
        <v>215</v>
      </c>
      <c r="G468" t="s">
        <v>77</v>
      </c>
      <c r="H468" s="28">
        <v>1</v>
      </c>
      <c r="I468" s="27">
        <v>1</v>
      </c>
    </row>
    <row r="469" spans="1:9" x14ac:dyDescent="0.2">
      <c r="A469">
        <v>20</v>
      </c>
      <c r="B469" s="7" t="s">
        <v>198</v>
      </c>
      <c r="C469" s="4" t="s">
        <v>42</v>
      </c>
      <c r="D469" t="s">
        <v>209</v>
      </c>
      <c r="F469" t="s">
        <v>216</v>
      </c>
      <c r="G469" t="s">
        <v>72</v>
      </c>
      <c r="H469" s="28">
        <v>0.66666666666666663</v>
      </c>
      <c r="I469" s="27">
        <v>0</v>
      </c>
    </row>
    <row r="470" spans="1:9" x14ac:dyDescent="0.2">
      <c r="A470">
        <v>20</v>
      </c>
      <c r="B470" s="7" t="s">
        <v>198</v>
      </c>
      <c r="C470" s="4" t="s">
        <v>107</v>
      </c>
      <c r="D470" t="s">
        <v>217</v>
      </c>
      <c r="F470" t="s">
        <v>210</v>
      </c>
      <c r="G470" t="s">
        <v>66</v>
      </c>
      <c r="H470" s="34">
        <v>30582.221758593631</v>
      </c>
      <c r="I470" s="34">
        <v>33525.790635700127</v>
      </c>
    </row>
    <row r="471" spans="1:9" x14ac:dyDescent="0.2">
      <c r="A471">
        <v>20</v>
      </c>
      <c r="B471" s="7" t="s">
        <v>198</v>
      </c>
      <c r="C471" s="4" t="s">
        <v>119</v>
      </c>
      <c r="D471" t="s">
        <v>217</v>
      </c>
      <c r="F471" t="s">
        <v>211</v>
      </c>
      <c r="G471" t="s">
        <v>79</v>
      </c>
      <c r="H471" s="34">
        <v>41846.312304782521</v>
      </c>
      <c r="I471" s="34">
        <v>32197.19658992943</v>
      </c>
    </row>
    <row r="472" spans="1:9" x14ac:dyDescent="0.2">
      <c r="A472">
        <v>20</v>
      </c>
      <c r="B472" s="7" t="s">
        <v>198</v>
      </c>
      <c r="C472" s="4" t="s">
        <v>117</v>
      </c>
      <c r="D472" t="s">
        <v>217</v>
      </c>
      <c r="F472" t="s">
        <v>212</v>
      </c>
      <c r="G472" t="s">
        <v>70</v>
      </c>
      <c r="H472" s="34">
        <v>29819.865802943459</v>
      </c>
      <c r="I472" s="34">
        <v>32292.337913163199</v>
      </c>
    </row>
    <row r="473" spans="1:9" x14ac:dyDescent="0.2">
      <c r="A473">
        <v>20</v>
      </c>
      <c r="B473" s="7" t="s">
        <v>198</v>
      </c>
      <c r="C473" s="4" t="s">
        <v>43</v>
      </c>
      <c r="D473" t="s">
        <v>217</v>
      </c>
      <c r="F473" t="s">
        <v>218</v>
      </c>
      <c r="G473" t="s">
        <v>74</v>
      </c>
      <c r="H473" s="34">
        <v>21594.017062342031</v>
      </c>
      <c r="I473" s="34">
        <v>23053.306253791579</v>
      </c>
    </row>
    <row r="474" spans="1:9" x14ac:dyDescent="0.2">
      <c r="A474">
        <v>20</v>
      </c>
      <c r="B474" s="7" t="s">
        <v>198</v>
      </c>
      <c r="C474" s="4" t="s">
        <v>40</v>
      </c>
      <c r="D474" t="s">
        <v>217</v>
      </c>
      <c r="F474" t="s">
        <v>214</v>
      </c>
      <c r="G474" t="s">
        <v>68</v>
      </c>
      <c r="H474" s="34">
        <v>41118.968884415837</v>
      </c>
      <c r="I474" s="34">
        <v>34377.414530065987</v>
      </c>
    </row>
    <row r="475" spans="1:9" x14ac:dyDescent="0.2">
      <c r="A475">
        <v>20</v>
      </c>
      <c r="B475" s="7" t="s">
        <v>198</v>
      </c>
      <c r="C475" s="4" t="s">
        <v>75</v>
      </c>
      <c r="D475" t="s">
        <v>217</v>
      </c>
      <c r="F475" t="s">
        <v>215</v>
      </c>
      <c r="G475" t="s">
        <v>77</v>
      </c>
      <c r="H475" s="34">
        <v>76994.100294985241</v>
      </c>
      <c r="I475" s="34">
        <v>20320.855614973261</v>
      </c>
    </row>
    <row r="476" spans="1:9" x14ac:dyDescent="0.2">
      <c r="A476">
        <v>20</v>
      </c>
      <c r="B476" s="7" t="s">
        <v>198</v>
      </c>
      <c r="C476" s="4" t="s">
        <v>42</v>
      </c>
      <c r="D476" t="s">
        <v>217</v>
      </c>
      <c r="F476" t="s">
        <v>216</v>
      </c>
      <c r="G476" t="s">
        <v>72</v>
      </c>
      <c r="H476" s="34">
        <v>61547.619047619053</v>
      </c>
      <c r="I476">
        <v>93500</v>
      </c>
    </row>
    <row r="477" spans="1:9" x14ac:dyDescent="0.2">
      <c r="A477">
        <v>20</v>
      </c>
      <c r="B477" s="7" t="s">
        <v>198</v>
      </c>
      <c r="C477" s="4" t="s">
        <v>107</v>
      </c>
      <c r="D477" t="s">
        <v>219</v>
      </c>
      <c r="F477" t="s">
        <v>210</v>
      </c>
      <c r="G477" t="s">
        <v>66</v>
      </c>
      <c r="H477" s="28">
        <v>0.61663484550213177</v>
      </c>
      <c r="I477" s="28">
        <v>0.48563222423068042</v>
      </c>
    </row>
    <row r="478" spans="1:9" x14ac:dyDescent="0.2">
      <c r="A478">
        <v>20</v>
      </c>
      <c r="B478" s="7" t="s">
        <v>198</v>
      </c>
      <c r="C478" s="4" t="s">
        <v>119</v>
      </c>
      <c r="D478" t="s">
        <v>219</v>
      </c>
      <c r="F478" t="s">
        <v>211</v>
      </c>
      <c r="G478" t="s">
        <v>79</v>
      </c>
      <c r="H478" s="28">
        <v>0.36689540314289021</v>
      </c>
      <c r="I478" s="28">
        <v>0.37692590979003637</v>
      </c>
    </row>
    <row r="479" spans="1:9" x14ac:dyDescent="0.2">
      <c r="A479">
        <v>20</v>
      </c>
      <c r="B479" s="7" t="s">
        <v>198</v>
      </c>
      <c r="C479" s="4" t="s">
        <v>117</v>
      </c>
      <c r="D479" t="s">
        <v>219</v>
      </c>
      <c r="F479" t="s">
        <v>212</v>
      </c>
      <c r="G479" t="s">
        <v>70</v>
      </c>
      <c r="H479" s="28">
        <v>0.54127776946511763</v>
      </c>
      <c r="I479" s="28">
        <v>0.56528941635870344</v>
      </c>
    </row>
    <row r="480" spans="1:9" x14ac:dyDescent="0.2">
      <c r="A480">
        <v>20</v>
      </c>
      <c r="B480" s="7" t="s">
        <v>198</v>
      </c>
      <c r="C480" s="4" t="s">
        <v>43</v>
      </c>
      <c r="D480" t="s">
        <v>219</v>
      </c>
      <c r="F480" t="s">
        <v>218</v>
      </c>
      <c r="G480" t="s">
        <v>74</v>
      </c>
      <c r="H480" s="28">
        <v>1.352364332998236</v>
      </c>
      <c r="I480" s="28">
        <v>1.478400910913019</v>
      </c>
    </row>
    <row r="481" spans="1:10" x14ac:dyDescent="0.2">
      <c r="A481">
        <v>20</v>
      </c>
      <c r="B481" s="7" t="s">
        <v>198</v>
      </c>
      <c r="C481" s="4" t="s">
        <v>40</v>
      </c>
      <c r="D481" t="s">
        <v>219</v>
      </c>
      <c r="F481" t="s">
        <v>214</v>
      </c>
      <c r="G481" t="s">
        <v>68</v>
      </c>
      <c r="H481" s="28">
        <v>0.82531116594916876</v>
      </c>
      <c r="I481" s="28">
        <v>1.013167958804793</v>
      </c>
    </row>
    <row r="482" spans="1:10" x14ac:dyDescent="0.2">
      <c r="A482">
        <v>20</v>
      </c>
      <c r="B482" s="7" t="s">
        <v>198</v>
      </c>
      <c r="C482" s="4" t="s">
        <v>75</v>
      </c>
      <c r="D482" t="s">
        <v>219</v>
      </c>
      <c r="F482" t="s">
        <v>215</v>
      </c>
      <c r="G482" t="s">
        <v>77</v>
      </c>
      <c r="H482" s="28">
        <v>0.30480421548405412</v>
      </c>
      <c r="I482" s="28">
        <v>6.8965517241379309E-3</v>
      </c>
    </row>
    <row r="483" spans="1:10" x14ac:dyDescent="0.2">
      <c r="A483">
        <v>20</v>
      </c>
      <c r="B483" s="7" t="s">
        <v>198</v>
      </c>
      <c r="C483" s="4" t="s">
        <v>42</v>
      </c>
      <c r="D483" t="s">
        <v>219</v>
      </c>
      <c r="F483" t="s">
        <v>216</v>
      </c>
      <c r="G483" t="s">
        <v>72</v>
      </c>
      <c r="H483" s="28">
        <v>1.0301645202849119E-2</v>
      </c>
      <c r="I483" s="28">
        <v>6.6225165562913907E-3</v>
      </c>
    </row>
    <row r="484" spans="1:10" x14ac:dyDescent="0.2">
      <c r="A484">
        <v>21</v>
      </c>
      <c r="B484" s="7" t="s">
        <v>198</v>
      </c>
      <c r="C484" s="4" t="s">
        <v>107</v>
      </c>
      <c r="D484" s="7" t="s">
        <v>220</v>
      </c>
      <c r="F484" t="s">
        <v>221</v>
      </c>
      <c r="G484" t="s">
        <v>66</v>
      </c>
      <c r="H484" s="28">
        <v>0.15214545454545461</v>
      </c>
      <c r="I484" s="28">
        <v>0.16448528689592151</v>
      </c>
      <c r="J484" s="27"/>
    </row>
    <row r="485" spans="1:10" x14ac:dyDescent="0.2">
      <c r="A485">
        <v>21</v>
      </c>
      <c r="B485" s="7" t="s">
        <v>198</v>
      </c>
      <c r="C485" s="4" t="s">
        <v>119</v>
      </c>
      <c r="D485" t="s">
        <v>220</v>
      </c>
      <c r="F485" t="s">
        <v>222</v>
      </c>
      <c r="G485" t="s">
        <v>79</v>
      </c>
      <c r="H485" s="28">
        <v>0.16426218586334609</v>
      </c>
      <c r="I485" s="28">
        <v>0.14693536505565269</v>
      </c>
      <c r="J485" s="27"/>
    </row>
    <row r="486" spans="1:10" x14ac:dyDescent="0.2">
      <c r="A486">
        <v>21</v>
      </c>
      <c r="B486" s="7" t="s">
        <v>198</v>
      </c>
      <c r="C486" s="4" t="s">
        <v>117</v>
      </c>
      <c r="D486" t="s">
        <v>220</v>
      </c>
      <c r="F486" t="s">
        <v>223</v>
      </c>
      <c r="G486" t="s">
        <v>70</v>
      </c>
      <c r="H486" s="28">
        <v>0.13655737657255329</v>
      </c>
      <c r="I486" s="28">
        <v>0.1576672680862386</v>
      </c>
      <c r="J486" s="27"/>
    </row>
    <row r="487" spans="1:10" x14ac:dyDescent="0.2">
      <c r="A487">
        <v>21</v>
      </c>
      <c r="B487" s="7" t="s">
        <v>198</v>
      </c>
      <c r="C487" s="4" t="s">
        <v>43</v>
      </c>
      <c r="D487" t="s">
        <v>220</v>
      </c>
      <c r="F487" t="s">
        <v>224</v>
      </c>
      <c r="G487" t="s">
        <v>74</v>
      </c>
      <c r="H487" s="35">
        <v>0.22674742141294921</v>
      </c>
      <c r="I487" s="35">
        <v>0.2412869519211692</v>
      </c>
      <c r="J487" s="27"/>
    </row>
    <row r="488" spans="1:10" x14ac:dyDescent="0.2">
      <c r="A488">
        <v>21</v>
      </c>
      <c r="B488" s="7" t="s">
        <v>198</v>
      </c>
      <c r="C488" s="4" t="s">
        <v>40</v>
      </c>
      <c r="D488" t="s">
        <v>220</v>
      </c>
      <c r="F488" t="s">
        <v>225</v>
      </c>
      <c r="G488" t="s">
        <v>68</v>
      </c>
      <c r="H488" s="28">
        <v>0.1668156725522105</v>
      </c>
      <c r="I488" s="28">
        <v>0.20113280121296101</v>
      </c>
      <c r="J488" s="27"/>
    </row>
    <row r="489" spans="1:10" x14ac:dyDescent="0.2">
      <c r="A489">
        <v>21</v>
      </c>
      <c r="B489" s="7" t="s">
        <v>198</v>
      </c>
      <c r="C489" s="4" t="s">
        <v>75</v>
      </c>
      <c r="D489" t="s">
        <v>220</v>
      </c>
      <c r="F489" t="s">
        <v>226</v>
      </c>
      <c r="G489" t="s">
        <v>77</v>
      </c>
      <c r="H489" s="28">
        <v>0.2247283902162022</v>
      </c>
      <c r="I489" s="28">
        <v>7.125057683433317</v>
      </c>
      <c r="J489" s="27"/>
    </row>
    <row r="490" spans="1:10" x14ac:dyDescent="0.2">
      <c r="A490">
        <v>21</v>
      </c>
      <c r="B490" s="7" t="s">
        <v>198</v>
      </c>
      <c r="C490" s="4" t="s">
        <v>42</v>
      </c>
      <c r="D490" t="s">
        <v>220</v>
      </c>
      <c r="F490" t="s">
        <v>227</v>
      </c>
      <c r="G490" t="s">
        <v>72</v>
      </c>
      <c r="H490" s="28">
        <v>1.33331356994067</v>
      </c>
      <c r="I490" s="28">
        <v>19.66534903280067</v>
      </c>
      <c r="J490" s="27"/>
    </row>
    <row r="491" spans="1:10" x14ac:dyDescent="0.2">
      <c r="A491">
        <v>21</v>
      </c>
      <c r="B491" s="7" t="s">
        <v>198</v>
      </c>
      <c r="C491" s="4" t="s">
        <v>107</v>
      </c>
      <c r="D491" t="s">
        <v>228</v>
      </c>
      <c r="F491" t="s">
        <v>229</v>
      </c>
      <c r="G491" t="s">
        <v>66</v>
      </c>
      <c r="H491" s="28">
        <v>9.1231544359255207E-2</v>
      </c>
      <c r="I491" s="28">
        <v>0.11126317902117611</v>
      </c>
      <c r="J491" s="27"/>
    </row>
    <row r="492" spans="1:10" x14ac:dyDescent="0.2">
      <c r="A492">
        <v>21</v>
      </c>
      <c r="B492" s="7" t="s">
        <v>198</v>
      </c>
      <c r="C492" s="4" t="s">
        <v>119</v>
      </c>
      <c r="D492" t="s">
        <v>228</v>
      </c>
      <c r="F492" t="s">
        <v>230</v>
      </c>
      <c r="G492" t="s">
        <v>79</v>
      </c>
      <c r="H492" s="28">
        <v>0.10716865758679429</v>
      </c>
      <c r="I492" s="28">
        <v>0.106415251746727</v>
      </c>
      <c r="J492" s="27"/>
    </row>
    <row r="493" spans="1:10" x14ac:dyDescent="0.2">
      <c r="A493">
        <v>21</v>
      </c>
      <c r="B493" s="7" t="s">
        <v>198</v>
      </c>
      <c r="C493" s="4" t="s">
        <v>117</v>
      </c>
      <c r="D493" t="s">
        <v>228</v>
      </c>
      <c r="F493" t="s">
        <v>231</v>
      </c>
      <c r="G493" t="s">
        <v>70</v>
      </c>
      <c r="H493" s="28">
        <v>0.1004486156297336</v>
      </c>
      <c r="I493" s="28">
        <v>0.1119588263172336</v>
      </c>
      <c r="J493" s="27"/>
    </row>
    <row r="494" spans="1:10" x14ac:dyDescent="0.2">
      <c r="A494">
        <v>21</v>
      </c>
      <c r="B494" s="7" t="s">
        <v>198</v>
      </c>
      <c r="C494" s="4" t="s">
        <v>43</v>
      </c>
      <c r="D494" t="s">
        <v>228</v>
      </c>
      <c r="F494" t="s">
        <v>232</v>
      </c>
      <c r="G494" t="s">
        <v>74</v>
      </c>
      <c r="H494" s="28">
        <v>0.1463162117741455</v>
      </c>
      <c r="I494" s="28">
        <v>0.15967032603663781</v>
      </c>
      <c r="J494" s="27"/>
    </row>
    <row r="495" spans="1:10" x14ac:dyDescent="0.2">
      <c r="A495">
        <v>21</v>
      </c>
      <c r="B495" s="7" t="s">
        <v>198</v>
      </c>
      <c r="C495" s="4" t="s">
        <v>40</v>
      </c>
      <c r="D495" t="s">
        <v>228</v>
      </c>
      <c r="F495" t="s">
        <v>233</v>
      </c>
      <c r="G495" t="s">
        <v>68</v>
      </c>
      <c r="H495" s="28">
        <v>9.9871666323387287E-2</v>
      </c>
      <c r="I495" s="28">
        <v>0.13097120771025639</v>
      </c>
      <c r="J495" s="27"/>
    </row>
    <row r="496" spans="1:10" x14ac:dyDescent="0.2">
      <c r="A496">
        <v>21</v>
      </c>
      <c r="B496" s="7" t="s">
        <v>198</v>
      </c>
      <c r="C496" s="4" t="s">
        <v>75</v>
      </c>
      <c r="D496" t="s">
        <v>228</v>
      </c>
      <c r="F496" t="s">
        <v>234</v>
      </c>
      <c r="G496" t="s">
        <v>77</v>
      </c>
      <c r="H496" s="28">
        <v>0.43089295108936188</v>
      </c>
      <c r="I496" s="28">
        <v>7.6009844639286257</v>
      </c>
      <c r="J496" s="27"/>
    </row>
    <row r="497" spans="1:10" x14ac:dyDescent="0.2">
      <c r="A497">
        <v>21</v>
      </c>
      <c r="B497" s="7" t="s">
        <v>198</v>
      </c>
      <c r="C497" s="4" t="s">
        <v>42</v>
      </c>
      <c r="D497" t="s">
        <v>228</v>
      </c>
      <c r="F497" t="s">
        <v>235</v>
      </c>
      <c r="G497" t="s">
        <v>72</v>
      </c>
      <c r="H497" s="28">
        <v>0.69660030119410421</v>
      </c>
      <c r="I497" s="28">
        <v>10.553280067283429</v>
      </c>
      <c r="J497" s="27"/>
    </row>
    <row r="498" spans="1:10" x14ac:dyDescent="0.2">
      <c r="A498">
        <v>21</v>
      </c>
      <c r="B498" s="7" t="s">
        <v>198</v>
      </c>
      <c r="C498" s="4" t="s">
        <v>107</v>
      </c>
      <c r="D498" t="s">
        <v>236</v>
      </c>
      <c r="F498" t="s">
        <v>229</v>
      </c>
      <c r="G498" t="s">
        <v>66</v>
      </c>
      <c r="H498" s="27">
        <v>7.0834611171960568E-3</v>
      </c>
      <c r="I498" s="27">
        <v>5.2566626384090804E-3</v>
      </c>
    </row>
    <row r="499" spans="1:10" x14ac:dyDescent="0.2">
      <c r="A499">
        <v>21</v>
      </c>
      <c r="B499" s="7" t="s">
        <v>198</v>
      </c>
      <c r="C499" s="4" t="s">
        <v>119</v>
      </c>
      <c r="D499" t="s">
        <v>236</v>
      </c>
      <c r="F499" t="s">
        <v>230</v>
      </c>
      <c r="G499" t="s">
        <v>79</v>
      </c>
      <c r="H499" s="27">
        <v>1.2901352327584371E-2</v>
      </c>
      <c r="I499" s="27">
        <v>1.153050944012521E-2</v>
      </c>
    </row>
    <row r="500" spans="1:10" x14ac:dyDescent="0.2">
      <c r="A500">
        <v>21</v>
      </c>
      <c r="B500" s="7" t="s">
        <v>198</v>
      </c>
      <c r="C500" s="4" t="s">
        <v>117</v>
      </c>
      <c r="D500" t="s">
        <v>236</v>
      </c>
      <c r="F500" t="s">
        <v>231</v>
      </c>
      <c r="G500" t="s">
        <v>70</v>
      </c>
      <c r="H500" s="27">
        <v>5.2348181551227372E-3</v>
      </c>
      <c r="I500" s="27">
        <v>4.790847336431891E-3</v>
      </c>
    </row>
    <row r="501" spans="1:10" x14ac:dyDescent="0.2">
      <c r="A501">
        <v>21</v>
      </c>
      <c r="B501" s="7" t="s">
        <v>198</v>
      </c>
      <c r="C501" s="4" t="s">
        <v>43</v>
      </c>
      <c r="D501" t="s">
        <v>236</v>
      </c>
      <c r="F501" t="s">
        <v>232</v>
      </c>
      <c r="G501" t="s">
        <v>74</v>
      </c>
      <c r="H501" s="27">
        <v>1.250792664777213E-2</v>
      </c>
      <c r="I501" s="27">
        <v>1.480556841478738E-2</v>
      </c>
    </row>
    <row r="502" spans="1:10" x14ac:dyDescent="0.2">
      <c r="A502">
        <v>21</v>
      </c>
      <c r="B502" s="7" t="s">
        <v>198</v>
      </c>
      <c r="C502" s="4" t="s">
        <v>40</v>
      </c>
      <c r="D502" t="s">
        <v>236</v>
      </c>
      <c r="F502" t="s">
        <v>233</v>
      </c>
      <c r="G502" t="s">
        <v>68</v>
      </c>
      <c r="H502" s="27">
        <v>1.0794061794815501E-2</v>
      </c>
      <c r="I502" s="27">
        <v>1.1004887263598429E-2</v>
      </c>
    </row>
    <row r="503" spans="1:10" x14ac:dyDescent="0.2">
      <c r="A503">
        <v>21</v>
      </c>
      <c r="B503" s="7" t="s">
        <v>198</v>
      </c>
      <c r="C503" s="4" t="s">
        <v>75</v>
      </c>
      <c r="D503" t="s">
        <v>236</v>
      </c>
      <c r="F503" t="s">
        <v>234</v>
      </c>
      <c r="G503" t="s">
        <v>77</v>
      </c>
      <c r="H503" s="27" t="e">
        <v>#VALUE!</v>
      </c>
      <c r="I503" s="27" t="e">
        <v>#VALUE!</v>
      </c>
    </row>
    <row r="504" spans="1:10" x14ac:dyDescent="0.2">
      <c r="A504">
        <v>21</v>
      </c>
      <c r="B504" s="7" t="s">
        <v>198</v>
      </c>
      <c r="C504" s="4" t="s">
        <v>42</v>
      </c>
      <c r="D504" t="s">
        <v>236</v>
      </c>
      <c r="F504" t="s">
        <v>235</v>
      </c>
      <c r="G504" t="s">
        <v>72</v>
      </c>
      <c r="H504" s="27">
        <v>0.1363081191969738</v>
      </c>
      <c r="I504" s="27">
        <v>1.8388561816652651</v>
      </c>
    </row>
    <row r="505" spans="1:10" x14ac:dyDescent="0.2">
      <c r="A505">
        <v>22</v>
      </c>
      <c r="B505" s="7" t="s">
        <v>198</v>
      </c>
      <c r="C505" s="4" t="s">
        <v>107</v>
      </c>
      <c r="D505" s="7" t="s">
        <v>237</v>
      </c>
      <c r="F505" t="s">
        <v>238</v>
      </c>
      <c r="G505" t="s">
        <v>66</v>
      </c>
      <c r="H505" s="28">
        <f t="shared" ref="H505:I511" si="12">H491/H484</f>
        <v>0.59963371651040087</v>
      </c>
      <c r="I505" s="28">
        <f t="shared" si="12"/>
        <v>0.67643240997949061</v>
      </c>
    </row>
    <row r="506" spans="1:10" x14ac:dyDescent="0.2">
      <c r="A506">
        <v>22</v>
      </c>
      <c r="B506" s="7" t="s">
        <v>198</v>
      </c>
      <c r="C506" s="4" t="s">
        <v>119</v>
      </c>
      <c r="D506" s="7" t="s">
        <v>237</v>
      </c>
      <c r="F506" t="s">
        <v>238</v>
      </c>
      <c r="G506" t="s">
        <v>79</v>
      </c>
      <c r="H506" s="28">
        <f t="shared" si="12"/>
        <v>0.65242439715218836</v>
      </c>
      <c r="I506" s="28">
        <f t="shared" si="12"/>
        <v>0.72423171716639867</v>
      </c>
    </row>
    <row r="507" spans="1:10" x14ac:dyDescent="0.2">
      <c r="A507">
        <v>22</v>
      </c>
      <c r="B507" s="7" t="s">
        <v>198</v>
      </c>
      <c r="C507" s="4" t="s">
        <v>117</v>
      </c>
      <c r="D507" s="7" t="s">
        <v>237</v>
      </c>
      <c r="F507" t="s">
        <v>238</v>
      </c>
      <c r="G507" t="s">
        <v>70</v>
      </c>
      <c r="H507" s="28">
        <f t="shared" si="12"/>
        <v>0.73557810021610215</v>
      </c>
      <c r="I507" s="28">
        <f t="shared" si="12"/>
        <v>0.7100955555086802</v>
      </c>
    </row>
    <row r="508" spans="1:10" x14ac:dyDescent="0.2">
      <c r="A508">
        <v>22</v>
      </c>
      <c r="B508" s="7" t="s">
        <v>198</v>
      </c>
      <c r="C508" s="4" t="s">
        <v>43</v>
      </c>
      <c r="D508" s="7" t="s">
        <v>237</v>
      </c>
      <c r="F508" t="s">
        <v>238</v>
      </c>
      <c r="G508" t="s">
        <v>74</v>
      </c>
      <c r="H508" s="28">
        <f t="shared" si="12"/>
        <v>0.6452828034929512</v>
      </c>
      <c r="I508" s="28">
        <f t="shared" si="12"/>
        <v>0.66174455255584508</v>
      </c>
    </row>
    <row r="509" spans="1:10" x14ac:dyDescent="0.2">
      <c r="A509">
        <v>22</v>
      </c>
      <c r="B509" s="7" t="s">
        <v>198</v>
      </c>
      <c r="C509" s="4" t="s">
        <v>40</v>
      </c>
      <c r="D509" s="7" t="s">
        <v>237</v>
      </c>
      <c r="F509" t="s">
        <v>238</v>
      </c>
      <c r="G509" t="s">
        <v>68</v>
      </c>
      <c r="H509" s="28">
        <f t="shared" si="12"/>
        <v>0.59869474369759312</v>
      </c>
      <c r="I509" s="28">
        <f t="shared" si="12"/>
        <v>0.65116782006920404</v>
      </c>
    </row>
    <row r="510" spans="1:10" x14ac:dyDescent="0.2">
      <c r="A510">
        <v>22</v>
      </c>
      <c r="B510" s="7" t="s">
        <v>198</v>
      </c>
      <c r="C510" s="4" t="s">
        <v>75</v>
      </c>
      <c r="D510" s="7" t="s">
        <v>237</v>
      </c>
      <c r="F510" t="s">
        <v>238</v>
      </c>
      <c r="G510" t="s">
        <v>77</v>
      </c>
      <c r="H510" s="28">
        <f t="shared" si="12"/>
        <v>1.9173943740477872</v>
      </c>
      <c r="I510" s="28">
        <f t="shared" si="12"/>
        <v>1.0667962003454232</v>
      </c>
    </row>
    <row r="511" spans="1:10" x14ac:dyDescent="0.2">
      <c r="A511">
        <v>22</v>
      </c>
      <c r="B511" s="7" t="s">
        <v>198</v>
      </c>
      <c r="C511" s="4" t="s">
        <v>42</v>
      </c>
      <c r="D511" s="7" t="s">
        <v>237</v>
      </c>
      <c r="F511" t="s">
        <v>238</v>
      </c>
      <c r="G511" t="s">
        <v>72</v>
      </c>
      <c r="H511" s="28">
        <f t="shared" si="12"/>
        <v>0.52245797005208738</v>
      </c>
      <c r="I511" s="28">
        <f t="shared" si="12"/>
        <v>0.53664341526210224</v>
      </c>
    </row>
    <row r="512" spans="1:10" x14ac:dyDescent="0.2">
      <c r="A512">
        <v>22</v>
      </c>
      <c r="B512" s="7" t="s">
        <v>198</v>
      </c>
      <c r="C512" s="4" t="s">
        <v>107</v>
      </c>
      <c r="D512" s="7" t="s">
        <v>239</v>
      </c>
      <c r="F512" t="s">
        <v>240</v>
      </c>
      <c r="G512" t="s">
        <v>66</v>
      </c>
      <c r="H512" s="25">
        <v>5.4761478988060803</v>
      </c>
      <c r="I512" s="13">
        <v>6.2810823841378891</v>
      </c>
    </row>
    <row r="513" spans="1:9" x14ac:dyDescent="0.2">
      <c r="A513">
        <v>22</v>
      </c>
      <c r="B513" s="7" t="s">
        <v>198</v>
      </c>
      <c r="C513" s="4" t="s">
        <v>119</v>
      </c>
      <c r="D513" s="7" t="s">
        <v>239</v>
      </c>
      <c r="F513" t="s">
        <v>241</v>
      </c>
      <c r="G513" t="s">
        <v>79</v>
      </c>
      <c r="H513" s="25">
        <v>7.7932046376478032</v>
      </c>
      <c r="I513" s="13">
        <v>7.68213774653145</v>
      </c>
    </row>
    <row r="514" spans="1:9" x14ac:dyDescent="0.2">
      <c r="A514">
        <v>22</v>
      </c>
      <c r="B514" s="7" t="s">
        <v>198</v>
      </c>
      <c r="C514" s="4" t="s">
        <v>117</v>
      </c>
      <c r="D514" s="7" t="s">
        <v>239</v>
      </c>
      <c r="F514" t="s">
        <v>242</v>
      </c>
      <c r="G514" t="s">
        <v>70</v>
      </c>
      <c r="H514" s="25">
        <v>5.9752680733310273</v>
      </c>
      <c r="I514" s="13">
        <v>4.9541574687270051</v>
      </c>
    </row>
    <row r="515" spans="1:9" x14ac:dyDescent="0.2">
      <c r="A515">
        <v>22</v>
      </c>
      <c r="B515" s="7" t="s">
        <v>198</v>
      </c>
      <c r="C515" s="4" t="s">
        <v>43</v>
      </c>
      <c r="D515" s="7" t="s">
        <v>239</v>
      </c>
      <c r="F515" t="s">
        <v>243</v>
      </c>
      <c r="G515" t="s">
        <v>74</v>
      </c>
      <c r="H515" s="25">
        <v>6.5079867606849904</v>
      </c>
      <c r="I515" s="13">
        <v>6.2741594932597042</v>
      </c>
    </row>
    <row r="516" spans="1:9" x14ac:dyDescent="0.2">
      <c r="A516">
        <v>22</v>
      </c>
      <c r="B516" s="7" t="s">
        <v>198</v>
      </c>
      <c r="C516" s="4" t="s">
        <v>40</v>
      </c>
      <c r="D516" s="7" t="s">
        <v>239</v>
      </c>
      <c r="F516" t="s">
        <v>244</v>
      </c>
      <c r="G516" t="s">
        <v>68</v>
      </c>
      <c r="H516" s="25">
        <v>6.3963180401536563</v>
      </c>
      <c r="I516" s="13">
        <v>6.5937744407946193</v>
      </c>
    </row>
    <row r="517" spans="1:9" x14ac:dyDescent="0.2">
      <c r="A517">
        <v>22</v>
      </c>
      <c r="B517" s="7" t="s">
        <v>198</v>
      </c>
      <c r="C517" s="4" t="s">
        <v>75</v>
      </c>
      <c r="D517" s="7" t="s">
        <v>239</v>
      </c>
      <c r="F517" t="s">
        <v>245</v>
      </c>
      <c r="G517" t="s">
        <v>77</v>
      </c>
      <c r="H517" s="25">
        <v>10.21762376237624</v>
      </c>
      <c r="I517" s="13">
        <v>13.17706666666667</v>
      </c>
    </row>
    <row r="518" spans="1:9" x14ac:dyDescent="0.2">
      <c r="A518">
        <v>22</v>
      </c>
      <c r="B518" s="7" t="s">
        <v>198</v>
      </c>
      <c r="C518" s="4" t="s">
        <v>42</v>
      </c>
      <c r="D518" s="7" t="s">
        <v>239</v>
      </c>
      <c r="F518" t="s">
        <v>246</v>
      </c>
      <c r="G518" t="s">
        <v>72</v>
      </c>
      <c r="H518" s="25">
        <v>3.134924399644234</v>
      </c>
      <c r="I518" s="13">
        <v>3.442482853223594</v>
      </c>
    </row>
    <row r="519" spans="1:9" x14ac:dyDescent="0.2">
      <c r="A519">
        <v>22</v>
      </c>
      <c r="B519" s="7" t="s">
        <v>198</v>
      </c>
      <c r="C519" s="4" t="s">
        <v>107</v>
      </c>
      <c r="D519" s="7" t="s">
        <v>247</v>
      </c>
      <c r="F519" t="s">
        <v>240</v>
      </c>
      <c r="G519" t="s">
        <v>66</v>
      </c>
      <c r="H519" s="36">
        <v>0.86650868878357024</v>
      </c>
      <c r="I519" s="36">
        <v>0.62796208530805686</v>
      </c>
    </row>
    <row r="520" spans="1:9" x14ac:dyDescent="0.2">
      <c r="A520">
        <v>22</v>
      </c>
      <c r="B520" s="7" t="s">
        <v>198</v>
      </c>
      <c r="C520" s="4" t="s">
        <v>119</v>
      </c>
      <c r="D520" s="7" t="s">
        <v>247</v>
      </c>
      <c r="F520" t="s">
        <v>241</v>
      </c>
      <c r="G520" t="s">
        <v>79</v>
      </c>
      <c r="H520" s="36">
        <v>1.047515019115238</v>
      </c>
      <c r="I520" s="36">
        <v>0.871394007072399</v>
      </c>
    </row>
    <row r="521" spans="1:9" x14ac:dyDescent="0.2">
      <c r="A521">
        <v>22</v>
      </c>
      <c r="B521" s="7" t="s">
        <v>198</v>
      </c>
      <c r="C521" s="4" t="s">
        <v>117</v>
      </c>
      <c r="D521" s="7" t="s">
        <v>247</v>
      </c>
      <c r="F521" t="s">
        <v>242</v>
      </c>
      <c r="G521" t="s">
        <v>70</v>
      </c>
      <c r="H521" s="36">
        <v>0.72252915899324732</v>
      </c>
      <c r="I521" s="36">
        <v>0.7303829252981795</v>
      </c>
    </row>
    <row r="522" spans="1:9" x14ac:dyDescent="0.2">
      <c r="A522">
        <v>22</v>
      </c>
      <c r="B522" s="7" t="s">
        <v>198</v>
      </c>
      <c r="C522" s="4" t="s">
        <v>43</v>
      </c>
      <c r="D522" s="7" t="s">
        <v>247</v>
      </c>
      <c r="F522" t="s">
        <v>243</v>
      </c>
      <c r="G522" t="s">
        <v>74</v>
      </c>
      <c r="H522" s="36">
        <v>0.7142857142857143</v>
      </c>
      <c r="I522" s="36">
        <v>0.80648148148148147</v>
      </c>
    </row>
    <row r="523" spans="1:9" x14ac:dyDescent="0.2">
      <c r="A523">
        <v>22</v>
      </c>
      <c r="B523" s="7" t="s">
        <v>198</v>
      </c>
      <c r="C523" s="4" t="s">
        <v>40</v>
      </c>
      <c r="D523" s="7" t="s">
        <v>247</v>
      </c>
      <c r="F523" t="s">
        <v>244</v>
      </c>
      <c r="G523" t="s">
        <v>68</v>
      </c>
      <c r="H523" s="36">
        <v>0.6869021339220015</v>
      </c>
      <c r="I523" s="36">
        <v>0.80014749262536877</v>
      </c>
    </row>
    <row r="524" spans="1:9" x14ac:dyDescent="0.2">
      <c r="A524">
        <v>22</v>
      </c>
      <c r="B524" s="7" t="s">
        <v>198</v>
      </c>
      <c r="C524" s="4" t="s">
        <v>75</v>
      </c>
      <c r="D524" s="7" t="s">
        <v>247</v>
      </c>
      <c r="F524" t="s">
        <v>245</v>
      </c>
      <c r="G524" t="s">
        <v>77</v>
      </c>
      <c r="H524" s="36">
        <v>2.47074074074074</v>
      </c>
      <c r="I524" s="36">
        <v>3.914166666666667</v>
      </c>
    </row>
    <row r="525" spans="1:9" x14ac:dyDescent="0.2">
      <c r="A525">
        <v>22</v>
      </c>
      <c r="B525" s="7" t="s">
        <v>198</v>
      </c>
      <c r="C525" s="4" t="s">
        <v>42</v>
      </c>
      <c r="D525" s="7" t="s">
        <v>247</v>
      </c>
      <c r="F525" t="s">
        <v>246</v>
      </c>
      <c r="G525" t="s">
        <v>72</v>
      </c>
      <c r="H525" s="36">
        <v>0.69041353383458659</v>
      </c>
      <c r="I525" s="36">
        <v>0.65106321839080461</v>
      </c>
    </row>
    <row r="526" spans="1:9" x14ac:dyDescent="0.2">
      <c r="A526">
        <v>23</v>
      </c>
      <c r="B526" s="7" t="s">
        <v>198</v>
      </c>
      <c r="C526" s="4" t="s">
        <v>107</v>
      </c>
      <c r="D526" s="7" t="s">
        <v>177</v>
      </c>
      <c r="F526" t="s">
        <v>178</v>
      </c>
      <c r="G526" t="s">
        <v>66</v>
      </c>
      <c r="H526" s="43">
        <v>-214.35</v>
      </c>
      <c r="I526" s="43">
        <v>7.44</v>
      </c>
    </row>
    <row r="527" spans="1:9" x14ac:dyDescent="0.2">
      <c r="A527">
        <v>23</v>
      </c>
      <c r="B527" s="7" t="s">
        <v>198</v>
      </c>
      <c r="C527" s="4" t="s">
        <v>119</v>
      </c>
      <c r="D527" s="7" t="s">
        <v>177</v>
      </c>
      <c r="F527" t="s">
        <v>188</v>
      </c>
      <c r="G527" t="s">
        <v>79</v>
      </c>
      <c r="H527" s="43">
        <v>603.12</v>
      </c>
      <c r="I527" s="43">
        <v>861.92</v>
      </c>
    </row>
    <row r="528" spans="1:9" x14ac:dyDescent="0.2">
      <c r="A528">
        <v>23</v>
      </c>
      <c r="B528" s="7" t="s">
        <v>198</v>
      </c>
      <c r="C528" s="4" t="s">
        <v>117</v>
      </c>
      <c r="D528" s="7" t="s">
        <v>177</v>
      </c>
      <c r="F528" t="s">
        <v>185</v>
      </c>
      <c r="G528" t="s">
        <v>70</v>
      </c>
      <c r="H528" s="43">
        <v>-89.33</v>
      </c>
      <c r="I528" s="43">
        <v>14.49</v>
      </c>
    </row>
    <row r="529" spans="1:9" x14ac:dyDescent="0.2">
      <c r="A529">
        <v>23</v>
      </c>
      <c r="B529" s="7" t="s">
        <v>198</v>
      </c>
      <c r="C529" s="4" t="s">
        <v>43</v>
      </c>
      <c r="D529" s="7" t="s">
        <v>177</v>
      </c>
      <c r="F529" t="s">
        <v>191</v>
      </c>
      <c r="G529" t="s">
        <v>74</v>
      </c>
      <c r="H529" s="43">
        <v>-444.71</v>
      </c>
      <c r="I529" s="43">
        <v>-215.08</v>
      </c>
    </row>
    <row r="530" spans="1:9" x14ac:dyDescent="0.2">
      <c r="A530">
        <v>23</v>
      </c>
      <c r="B530" s="7" t="s">
        <v>198</v>
      </c>
      <c r="C530" s="4" t="s">
        <v>40</v>
      </c>
      <c r="D530" s="7" t="s">
        <v>177</v>
      </c>
      <c r="F530" t="s">
        <v>182</v>
      </c>
      <c r="G530" t="s">
        <v>68</v>
      </c>
      <c r="H530" s="43">
        <v>-179.62</v>
      </c>
      <c r="I530" s="43">
        <v>-199.11</v>
      </c>
    </row>
    <row r="531" spans="1:9" x14ac:dyDescent="0.2">
      <c r="A531">
        <v>23</v>
      </c>
      <c r="B531" s="7" t="s">
        <v>198</v>
      </c>
      <c r="C531" s="4" t="s">
        <v>75</v>
      </c>
      <c r="D531" s="7" t="s">
        <v>177</v>
      </c>
      <c r="F531" t="s">
        <v>194</v>
      </c>
      <c r="G531" t="s">
        <v>77</v>
      </c>
      <c r="H531" s="43">
        <v>-3.1686999999999999</v>
      </c>
      <c r="I531" s="43">
        <v>-3.1006</v>
      </c>
    </row>
    <row r="532" spans="1:9" x14ac:dyDescent="0.2">
      <c r="A532">
        <v>23</v>
      </c>
      <c r="B532" s="7" t="s">
        <v>198</v>
      </c>
      <c r="C532" s="4" t="s">
        <v>42</v>
      </c>
      <c r="D532" s="7" t="s">
        <v>177</v>
      </c>
      <c r="F532" t="s">
        <v>197</v>
      </c>
      <c r="G532" t="s">
        <v>72</v>
      </c>
      <c r="H532" s="43">
        <v>-75.568799999999996</v>
      </c>
      <c r="I532" s="43">
        <v>-30.989000000000001</v>
      </c>
    </row>
    <row r="533" spans="1:9" x14ac:dyDescent="0.2">
      <c r="A533">
        <v>23</v>
      </c>
      <c r="B533" s="7" t="s">
        <v>198</v>
      </c>
      <c r="C533" s="4" t="s">
        <v>107</v>
      </c>
      <c r="D533" s="7" t="s">
        <v>248</v>
      </c>
      <c r="F533" t="s">
        <v>249</v>
      </c>
      <c r="G533" t="s">
        <v>66</v>
      </c>
      <c r="H533" s="43">
        <v>4068.74</v>
      </c>
      <c r="I533" s="43">
        <v>4041.95</v>
      </c>
    </row>
    <row r="534" spans="1:9" x14ac:dyDescent="0.2">
      <c r="A534">
        <v>23</v>
      </c>
      <c r="B534" s="7" t="s">
        <v>198</v>
      </c>
      <c r="C534" s="4" t="s">
        <v>119</v>
      </c>
      <c r="D534" s="7" t="s">
        <v>248</v>
      </c>
      <c r="F534" t="s">
        <v>250</v>
      </c>
      <c r="G534" t="s">
        <v>79</v>
      </c>
      <c r="H534" s="43">
        <v>8467.57</v>
      </c>
      <c r="I534" s="43">
        <v>7546.6</v>
      </c>
    </row>
    <row r="535" spans="1:9" x14ac:dyDescent="0.2">
      <c r="A535">
        <v>23</v>
      </c>
      <c r="B535" s="7" t="s">
        <v>198</v>
      </c>
      <c r="C535" s="4" t="s">
        <v>117</v>
      </c>
      <c r="D535" s="7" t="s">
        <v>248</v>
      </c>
      <c r="F535" t="s">
        <v>251</v>
      </c>
      <c r="G535" t="s">
        <v>70</v>
      </c>
      <c r="H535" s="43">
        <v>2635.63</v>
      </c>
      <c r="I535" s="43">
        <v>2221.2399999999998</v>
      </c>
    </row>
    <row r="536" spans="1:9" x14ac:dyDescent="0.2">
      <c r="A536">
        <v>23</v>
      </c>
      <c r="B536" s="7" t="s">
        <v>198</v>
      </c>
      <c r="C536" s="4" t="s">
        <v>43</v>
      </c>
      <c r="D536" s="7" t="s">
        <v>248</v>
      </c>
      <c r="F536" t="s">
        <v>252</v>
      </c>
      <c r="G536" t="s">
        <v>74</v>
      </c>
      <c r="H536" s="43">
        <v>3126.63</v>
      </c>
      <c r="I536" s="43">
        <v>2401.25</v>
      </c>
    </row>
    <row r="537" spans="1:9" x14ac:dyDescent="0.2">
      <c r="A537">
        <v>23</v>
      </c>
      <c r="B537" s="7" t="s">
        <v>198</v>
      </c>
      <c r="C537" s="4" t="s">
        <v>40</v>
      </c>
      <c r="D537" s="7" t="s">
        <v>248</v>
      </c>
      <c r="F537" t="s">
        <v>253</v>
      </c>
      <c r="G537" t="s">
        <v>68</v>
      </c>
      <c r="H537" s="43">
        <v>3422.52</v>
      </c>
      <c r="I537" s="43">
        <v>3172.14</v>
      </c>
    </row>
    <row r="538" spans="1:9" x14ac:dyDescent="0.2">
      <c r="A538">
        <v>23</v>
      </c>
      <c r="B538" s="7" t="s">
        <v>198</v>
      </c>
      <c r="C538" s="4" t="s">
        <v>75</v>
      </c>
      <c r="D538" s="7" t="s">
        <v>248</v>
      </c>
      <c r="F538" t="s">
        <v>254</v>
      </c>
      <c r="G538" t="s">
        <v>77</v>
      </c>
      <c r="H538" s="44">
        <v>1.1749000000000001</v>
      </c>
      <c r="I538" s="44">
        <v>1.0026999999999999</v>
      </c>
    </row>
    <row r="539" spans="1:9" x14ac:dyDescent="0.2">
      <c r="A539">
        <v>23</v>
      </c>
      <c r="B539" s="7" t="s">
        <v>198</v>
      </c>
      <c r="C539" s="4" t="s">
        <v>42</v>
      </c>
      <c r="D539" s="7" t="s">
        <v>248</v>
      </c>
      <c r="F539" t="s">
        <v>255</v>
      </c>
      <c r="G539" t="s">
        <v>72</v>
      </c>
      <c r="H539" s="37">
        <v>300.25580000000002</v>
      </c>
      <c r="I539" s="37">
        <v>300.27100000000002</v>
      </c>
    </row>
    <row r="540" spans="1:9" x14ac:dyDescent="0.2">
      <c r="A540">
        <v>23</v>
      </c>
      <c r="B540" s="7" t="s">
        <v>198</v>
      </c>
      <c r="C540" s="4" t="s">
        <v>107</v>
      </c>
      <c r="D540" s="7" t="s">
        <v>256</v>
      </c>
      <c r="F540" t="s">
        <v>256</v>
      </c>
      <c r="G540" t="s">
        <v>66</v>
      </c>
      <c r="H540">
        <v>287142</v>
      </c>
      <c r="I540">
        <v>286894</v>
      </c>
    </row>
    <row r="541" spans="1:9" x14ac:dyDescent="0.2">
      <c r="A541">
        <v>23</v>
      </c>
      <c r="B541" s="7" t="s">
        <v>198</v>
      </c>
      <c r="C541" s="4" t="s">
        <v>119</v>
      </c>
      <c r="D541" s="7" t="s">
        <v>256</v>
      </c>
      <c r="F541" t="s">
        <v>256</v>
      </c>
      <c r="G541" t="s">
        <v>79</v>
      </c>
      <c r="H541">
        <v>747800</v>
      </c>
      <c r="I541">
        <v>702157</v>
      </c>
    </row>
    <row r="542" spans="1:9" x14ac:dyDescent="0.2">
      <c r="A542">
        <v>23</v>
      </c>
      <c r="B542" s="7" t="s">
        <v>198</v>
      </c>
      <c r="C542" s="4" t="s">
        <v>117</v>
      </c>
      <c r="D542" s="7" t="s">
        <v>256</v>
      </c>
      <c r="F542" t="s">
        <v>256</v>
      </c>
      <c r="G542" t="s">
        <v>70</v>
      </c>
      <c r="H542">
        <v>258723</v>
      </c>
      <c r="I542">
        <v>218421</v>
      </c>
    </row>
    <row r="543" spans="1:9" x14ac:dyDescent="0.2">
      <c r="A543">
        <v>23</v>
      </c>
      <c r="B543" s="7" t="s">
        <v>198</v>
      </c>
      <c r="C543" s="4" t="s">
        <v>43</v>
      </c>
      <c r="D543" s="7" t="s">
        <v>256</v>
      </c>
      <c r="F543" t="s">
        <v>256</v>
      </c>
      <c r="G543" t="s">
        <v>74</v>
      </c>
      <c r="H543">
        <v>66400</v>
      </c>
      <c r="I543">
        <v>48122</v>
      </c>
    </row>
    <row r="544" spans="1:9" x14ac:dyDescent="0.2">
      <c r="A544">
        <v>23</v>
      </c>
      <c r="B544" s="7" t="s">
        <v>198</v>
      </c>
      <c r="C544" s="4" t="s">
        <v>40</v>
      </c>
      <c r="D544" s="7" t="s">
        <v>256</v>
      </c>
      <c r="F544" t="s">
        <v>256</v>
      </c>
      <c r="G544" t="s">
        <v>68</v>
      </c>
      <c r="H544">
        <v>154951</v>
      </c>
      <c r="I544">
        <v>127462</v>
      </c>
    </row>
    <row r="545" spans="1:9" x14ac:dyDescent="0.2">
      <c r="A545">
        <v>23</v>
      </c>
      <c r="B545" s="7" t="s">
        <v>198</v>
      </c>
      <c r="C545" s="4" t="s">
        <v>75</v>
      </c>
      <c r="D545" s="7" t="s">
        <v>256</v>
      </c>
      <c r="F545" t="s">
        <v>256</v>
      </c>
      <c r="G545" t="s">
        <v>77</v>
      </c>
      <c r="H545">
        <v>8531.73</v>
      </c>
      <c r="I545">
        <v>8977.630000000001</v>
      </c>
    </row>
    <row r="546" spans="1:9" x14ac:dyDescent="0.2">
      <c r="A546">
        <v>23</v>
      </c>
      <c r="B546" s="7" t="s">
        <v>198</v>
      </c>
      <c r="C546" s="4" t="s">
        <v>42</v>
      </c>
      <c r="D546" s="7" t="s">
        <v>256</v>
      </c>
      <c r="F546" t="s">
        <v>256</v>
      </c>
      <c r="G546" t="s">
        <v>72</v>
      </c>
      <c r="H546">
        <v>16565.259999999998</v>
      </c>
      <c r="I546">
        <v>26541.279999999999</v>
      </c>
    </row>
    <row r="547" spans="1:9" x14ac:dyDescent="0.2">
      <c r="A547">
        <v>24</v>
      </c>
      <c r="B547" s="7" t="s">
        <v>257</v>
      </c>
      <c r="C547" s="4" t="s">
        <v>107</v>
      </c>
      <c r="D547" s="7" t="s">
        <v>258</v>
      </c>
      <c r="F547" t="s">
        <v>259</v>
      </c>
      <c r="G547" t="s">
        <v>66</v>
      </c>
    </row>
    <row r="548" spans="1:9" x14ac:dyDescent="0.2">
      <c r="A548">
        <v>24</v>
      </c>
      <c r="B548" s="7" t="s">
        <v>257</v>
      </c>
      <c r="C548" s="4" t="s">
        <v>107</v>
      </c>
      <c r="D548" s="7" t="s">
        <v>260</v>
      </c>
      <c r="F548" t="s">
        <v>259</v>
      </c>
      <c r="G548" t="s">
        <v>66</v>
      </c>
    </row>
    <row r="549" spans="1:9" x14ac:dyDescent="0.2">
      <c r="A549">
        <v>24</v>
      </c>
      <c r="B549" s="7" t="s">
        <v>257</v>
      </c>
      <c r="C549" s="4" t="s">
        <v>107</v>
      </c>
      <c r="D549" s="7" t="s">
        <v>261</v>
      </c>
      <c r="F549" t="s">
        <v>259</v>
      </c>
      <c r="G549" t="s">
        <v>66</v>
      </c>
    </row>
    <row r="550" spans="1:9" x14ac:dyDescent="0.2">
      <c r="A550">
        <v>24</v>
      </c>
      <c r="B550" s="7" t="s">
        <v>257</v>
      </c>
      <c r="C550" s="4" t="s">
        <v>107</v>
      </c>
      <c r="D550" s="7" t="s">
        <v>262</v>
      </c>
      <c r="F550" t="s">
        <v>259</v>
      </c>
      <c r="G550" t="s">
        <v>66</v>
      </c>
    </row>
    <row r="551" spans="1:9" x14ac:dyDescent="0.2">
      <c r="A551">
        <v>24</v>
      </c>
      <c r="B551" s="7" t="s">
        <v>257</v>
      </c>
      <c r="C551" s="4" t="s">
        <v>107</v>
      </c>
      <c r="D551" s="7" t="s">
        <v>263</v>
      </c>
      <c r="F551" t="s">
        <v>259</v>
      </c>
      <c r="G551" t="s">
        <v>66</v>
      </c>
    </row>
    <row r="552" spans="1:9" x14ac:dyDescent="0.2">
      <c r="A552">
        <v>24</v>
      </c>
      <c r="B552" s="7" t="s">
        <v>257</v>
      </c>
      <c r="C552" s="4" t="s">
        <v>119</v>
      </c>
      <c r="D552" s="7" t="s">
        <v>258</v>
      </c>
      <c r="F552" t="s">
        <v>264</v>
      </c>
      <c r="G552" t="s">
        <v>79</v>
      </c>
    </row>
    <row r="553" spans="1:9" x14ac:dyDescent="0.2">
      <c r="A553">
        <v>24</v>
      </c>
      <c r="B553" s="7" t="s">
        <v>257</v>
      </c>
      <c r="C553" s="4" t="s">
        <v>119</v>
      </c>
      <c r="D553" s="7" t="s">
        <v>260</v>
      </c>
      <c r="F553" t="s">
        <v>264</v>
      </c>
      <c r="G553" t="s">
        <v>79</v>
      </c>
    </row>
    <row r="554" spans="1:9" x14ac:dyDescent="0.2">
      <c r="A554">
        <v>24</v>
      </c>
      <c r="B554" s="7" t="s">
        <v>257</v>
      </c>
      <c r="C554" s="4" t="s">
        <v>119</v>
      </c>
      <c r="D554" s="7" t="s">
        <v>261</v>
      </c>
      <c r="F554" t="s">
        <v>264</v>
      </c>
      <c r="G554" t="s">
        <v>79</v>
      </c>
    </row>
    <row r="555" spans="1:9" x14ac:dyDescent="0.2">
      <c r="A555">
        <v>24</v>
      </c>
      <c r="B555" s="7" t="s">
        <v>257</v>
      </c>
      <c r="C555" s="4" t="s">
        <v>119</v>
      </c>
      <c r="D555" s="7" t="s">
        <v>262</v>
      </c>
      <c r="F555" t="s">
        <v>264</v>
      </c>
      <c r="G555" t="s">
        <v>79</v>
      </c>
    </row>
    <row r="556" spans="1:9" x14ac:dyDescent="0.2">
      <c r="A556">
        <v>24</v>
      </c>
      <c r="B556" s="7" t="s">
        <v>257</v>
      </c>
      <c r="C556" s="4" t="s">
        <v>119</v>
      </c>
      <c r="D556" s="7" t="s">
        <v>263</v>
      </c>
      <c r="F556" t="s">
        <v>264</v>
      </c>
      <c r="G556" t="s">
        <v>79</v>
      </c>
    </row>
    <row r="557" spans="1:9" x14ac:dyDescent="0.2">
      <c r="A557">
        <v>24</v>
      </c>
      <c r="B557" s="7" t="s">
        <v>257</v>
      </c>
      <c r="C557" s="4" t="s">
        <v>117</v>
      </c>
      <c r="D557" s="7" t="s">
        <v>258</v>
      </c>
      <c r="F557" t="s">
        <v>265</v>
      </c>
      <c r="G557" t="s">
        <v>70</v>
      </c>
    </row>
    <row r="558" spans="1:9" x14ac:dyDescent="0.2">
      <c r="A558">
        <v>24</v>
      </c>
      <c r="B558" s="7" t="s">
        <v>257</v>
      </c>
      <c r="C558" s="4" t="s">
        <v>117</v>
      </c>
      <c r="D558" s="7" t="s">
        <v>260</v>
      </c>
      <c r="F558" t="s">
        <v>265</v>
      </c>
      <c r="G558" t="s">
        <v>70</v>
      </c>
    </row>
    <row r="559" spans="1:9" x14ac:dyDescent="0.2">
      <c r="A559">
        <v>24</v>
      </c>
      <c r="B559" s="7" t="s">
        <v>257</v>
      </c>
      <c r="C559" s="4" t="s">
        <v>117</v>
      </c>
      <c r="D559" s="7" t="s">
        <v>261</v>
      </c>
      <c r="F559" t="s">
        <v>265</v>
      </c>
      <c r="G559" t="s">
        <v>70</v>
      </c>
    </row>
    <row r="560" spans="1:9" x14ac:dyDescent="0.2">
      <c r="A560">
        <v>24</v>
      </c>
      <c r="B560" s="7" t="s">
        <v>257</v>
      </c>
      <c r="C560" s="4" t="s">
        <v>117</v>
      </c>
      <c r="D560" s="7" t="s">
        <v>262</v>
      </c>
      <c r="F560" t="s">
        <v>265</v>
      </c>
      <c r="G560" t="s">
        <v>70</v>
      </c>
    </row>
    <row r="561" spans="1:7" x14ac:dyDescent="0.2">
      <c r="A561">
        <v>24</v>
      </c>
      <c r="B561" s="7" t="s">
        <v>257</v>
      </c>
      <c r="C561" s="4" t="s">
        <v>117</v>
      </c>
      <c r="D561" s="7" t="s">
        <v>263</v>
      </c>
      <c r="F561" t="s">
        <v>265</v>
      </c>
      <c r="G561" t="s">
        <v>70</v>
      </c>
    </row>
    <row r="562" spans="1:7" x14ac:dyDescent="0.2">
      <c r="A562">
        <v>24</v>
      </c>
      <c r="B562" s="7" t="s">
        <v>257</v>
      </c>
      <c r="C562" s="4" t="s">
        <v>43</v>
      </c>
      <c r="D562" s="7" t="s">
        <v>258</v>
      </c>
      <c r="F562" t="s">
        <v>266</v>
      </c>
      <c r="G562" t="s">
        <v>74</v>
      </c>
    </row>
    <row r="563" spans="1:7" x14ac:dyDescent="0.2">
      <c r="A563">
        <v>24</v>
      </c>
      <c r="B563" s="7" t="s">
        <v>257</v>
      </c>
      <c r="C563" s="4" t="s">
        <v>43</v>
      </c>
      <c r="D563" s="7" t="s">
        <v>260</v>
      </c>
      <c r="F563" t="s">
        <v>266</v>
      </c>
      <c r="G563" t="s">
        <v>74</v>
      </c>
    </row>
    <row r="564" spans="1:7" x14ac:dyDescent="0.2">
      <c r="A564">
        <v>24</v>
      </c>
      <c r="B564" s="7" t="s">
        <v>257</v>
      </c>
      <c r="C564" s="4" t="s">
        <v>43</v>
      </c>
      <c r="D564" s="7" t="s">
        <v>261</v>
      </c>
      <c r="F564" t="s">
        <v>266</v>
      </c>
      <c r="G564" t="s">
        <v>74</v>
      </c>
    </row>
    <row r="565" spans="1:7" x14ac:dyDescent="0.2">
      <c r="A565">
        <v>24</v>
      </c>
      <c r="B565" s="7" t="s">
        <v>257</v>
      </c>
      <c r="C565" s="4" t="s">
        <v>43</v>
      </c>
      <c r="D565" s="7" t="s">
        <v>262</v>
      </c>
      <c r="F565" t="s">
        <v>266</v>
      </c>
      <c r="G565" t="s">
        <v>74</v>
      </c>
    </row>
    <row r="566" spans="1:7" x14ac:dyDescent="0.2">
      <c r="A566">
        <v>24</v>
      </c>
      <c r="B566" s="7" t="s">
        <v>257</v>
      </c>
      <c r="C566" s="4" t="s">
        <v>43</v>
      </c>
      <c r="D566" s="7" t="s">
        <v>263</v>
      </c>
      <c r="F566" t="s">
        <v>266</v>
      </c>
      <c r="G566" t="s">
        <v>74</v>
      </c>
    </row>
    <row r="567" spans="1:7" x14ac:dyDescent="0.2">
      <c r="A567">
        <v>24</v>
      </c>
      <c r="B567" s="7" t="s">
        <v>257</v>
      </c>
      <c r="C567" s="4" t="s">
        <v>40</v>
      </c>
      <c r="D567" s="7" t="s">
        <v>258</v>
      </c>
      <c r="F567" t="s">
        <v>267</v>
      </c>
      <c r="G567" t="s">
        <v>68</v>
      </c>
    </row>
    <row r="568" spans="1:7" x14ac:dyDescent="0.2">
      <c r="A568">
        <v>24</v>
      </c>
      <c r="B568" s="7" t="s">
        <v>257</v>
      </c>
      <c r="C568" s="4" t="s">
        <v>40</v>
      </c>
      <c r="D568" s="7" t="s">
        <v>260</v>
      </c>
      <c r="F568" t="s">
        <v>267</v>
      </c>
      <c r="G568" t="s">
        <v>68</v>
      </c>
    </row>
    <row r="569" spans="1:7" x14ac:dyDescent="0.2">
      <c r="A569">
        <v>24</v>
      </c>
      <c r="B569" s="7" t="s">
        <v>257</v>
      </c>
      <c r="C569" s="4" t="s">
        <v>40</v>
      </c>
      <c r="D569" s="7" t="s">
        <v>261</v>
      </c>
      <c r="F569" t="s">
        <v>267</v>
      </c>
      <c r="G569" t="s">
        <v>68</v>
      </c>
    </row>
    <row r="570" spans="1:7" x14ac:dyDescent="0.2">
      <c r="A570">
        <v>24</v>
      </c>
      <c r="B570" s="7" t="s">
        <v>257</v>
      </c>
      <c r="C570" s="4" t="s">
        <v>40</v>
      </c>
      <c r="D570" s="7" t="s">
        <v>262</v>
      </c>
      <c r="F570" t="s">
        <v>267</v>
      </c>
      <c r="G570" t="s">
        <v>68</v>
      </c>
    </row>
    <row r="571" spans="1:7" x14ac:dyDescent="0.2">
      <c r="A571">
        <v>24</v>
      </c>
      <c r="B571" s="7" t="s">
        <v>257</v>
      </c>
      <c r="C571" s="4" t="s">
        <v>40</v>
      </c>
      <c r="D571" s="7" t="s">
        <v>263</v>
      </c>
      <c r="F571" t="s">
        <v>267</v>
      </c>
      <c r="G571" t="s">
        <v>68</v>
      </c>
    </row>
    <row r="572" spans="1:7" x14ac:dyDescent="0.2">
      <c r="A572">
        <v>24</v>
      </c>
      <c r="B572" s="7" t="s">
        <v>257</v>
      </c>
      <c r="C572" s="4" t="s">
        <v>75</v>
      </c>
      <c r="D572" s="7" t="s">
        <v>258</v>
      </c>
      <c r="F572" t="s">
        <v>268</v>
      </c>
      <c r="G572" t="s">
        <v>77</v>
      </c>
    </row>
    <row r="573" spans="1:7" x14ac:dyDescent="0.2">
      <c r="A573">
        <v>24</v>
      </c>
      <c r="B573" s="7" t="s">
        <v>257</v>
      </c>
      <c r="C573" s="4" t="s">
        <v>75</v>
      </c>
      <c r="D573" s="7" t="s">
        <v>260</v>
      </c>
      <c r="F573" t="s">
        <v>268</v>
      </c>
      <c r="G573" t="s">
        <v>77</v>
      </c>
    </row>
    <row r="574" spans="1:7" x14ac:dyDescent="0.2">
      <c r="A574">
        <v>24</v>
      </c>
      <c r="B574" s="7" t="s">
        <v>257</v>
      </c>
      <c r="C574" s="4" t="s">
        <v>75</v>
      </c>
      <c r="D574" s="7" t="s">
        <v>261</v>
      </c>
      <c r="F574" t="s">
        <v>268</v>
      </c>
      <c r="G574" t="s">
        <v>77</v>
      </c>
    </row>
    <row r="575" spans="1:7" x14ac:dyDescent="0.2">
      <c r="A575">
        <v>24</v>
      </c>
      <c r="B575" s="7" t="s">
        <v>257</v>
      </c>
      <c r="C575" s="4" t="s">
        <v>75</v>
      </c>
      <c r="D575" s="7" t="s">
        <v>262</v>
      </c>
      <c r="F575" t="s">
        <v>268</v>
      </c>
      <c r="G575" t="s">
        <v>77</v>
      </c>
    </row>
    <row r="576" spans="1:7" x14ac:dyDescent="0.2">
      <c r="A576">
        <v>24</v>
      </c>
      <c r="B576" s="7" t="s">
        <v>257</v>
      </c>
      <c r="C576" s="4" t="s">
        <v>75</v>
      </c>
      <c r="D576" s="7" t="s">
        <v>263</v>
      </c>
      <c r="F576" t="s">
        <v>268</v>
      </c>
      <c r="G576" t="s">
        <v>77</v>
      </c>
    </row>
    <row r="577" spans="1:9" x14ac:dyDescent="0.2">
      <c r="A577">
        <v>24</v>
      </c>
      <c r="B577" s="7" t="s">
        <v>257</v>
      </c>
      <c r="C577" s="4" t="s">
        <v>42</v>
      </c>
      <c r="D577" s="7" t="s">
        <v>258</v>
      </c>
      <c r="F577" t="s">
        <v>269</v>
      </c>
      <c r="G577" t="s">
        <v>72</v>
      </c>
    </row>
    <row r="578" spans="1:9" x14ac:dyDescent="0.2">
      <c r="A578">
        <v>24</v>
      </c>
      <c r="B578" s="7" t="s">
        <v>257</v>
      </c>
      <c r="C578" s="4" t="s">
        <v>42</v>
      </c>
      <c r="D578" s="7" t="s">
        <v>260</v>
      </c>
      <c r="F578" t="s">
        <v>269</v>
      </c>
      <c r="G578" t="s">
        <v>72</v>
      </c>
    </row>
    <row r="579" spans="1:9" x14ac:dyDescent="0.2">
      <c r="A579">
        <v>24</v>
      </c>
      <c r="B579" s="7" t="s">
        <v>257</v>
      </c>
      <c r="C579" s="4" t="s">
        <v>42</v>
      </c>
      <c r="D579" s="7" t="s">
        <v>261</v>
      </c>
      <c r="F579" t="s">
        <v>269</v>
      </c>
      <c r="G579" t="s">
        <v>72</v>
      </c>
    </row>
    <row r="580" spans="1:9" x14ac:dyDescent="0.2">
      <c r="A580">
        <v>24</v>
      </c>
      <c r="B580" s="7" t="s">
        <v>257</v>
      </c>
      <c r="C580" s="4" t="s">
        <v>42</v>
      </c>
      <c r="D580" s="7" t="s">
        <v>262</v>
      </c>
      <c r="F580" t="s">
        <v>269</v>
      </c>
      <c r="G580" t="s">
        <v>72</v>
      </c>
    </row>
    <row r="581" spans="1:9" x14ac:dyDescent="0.2">
      <c r="A581">
        <v>24</v>
      </c>
      <c r="B581" s="7" t="s">
        <v>257</v>
      </c>
      <c r="C581" s="4" t="s">
        <v>42</v>
      </c>
      <c r="D581" s="7" t="s">
        <v>263</v>
      </c>
      <c r="F581" t="s">
        <v>269</v>
      </c>
      <c r="G581" t="s">
        <v>72</v>
      </c>
    </row>
    <row r="582" spans="1:9" x14ac:dyDescent="0.2">
      <c r="A582">
        <v>25</v>
      </c>
      <c r="B582" s="7" t="s">
        <v>270</v>
      </c>
      <c r="C582" s="4" t="s">
        <v>107</v>
      </c>
      <c r="D582" s="7" t="s">
        <v>271</v>
      </c>
      <c r="F582" t="s">
        <v>272</v>
      </c>
      <c r="G582" t="s">
        <v>66</v>
      </c>
      <c r="H582" s="20">
        <v>0.32</v>
      </c>
      <c r="I582" s="20">
        <v>0.31</v>
      </c>
    </row>
    <row r="583" spans="1:9" x14ac:dyDescent="0.2">
      <c r="A583">
        <v>25</v>
      </c>
      <c r="B583" s="7" t="s">
        <v>270</v>
      </c>
      <c r="C583" s="4" t="s">
        <v>107</v>
      </c>
      <c r="D583" s="7" t="s">
        <v>273</v>
      </c>
      <c r="F583" t="s">
        <v>272</v>
      </c>
      <c r="G583" t="s">
        <v>66</v>
      </c>
      <c r="H583" s="20">
        <v>0.6</v>
      </c>
      <c r="I583" s="20">
        <v>0.63</v>
      </c>
    </row>
    <row r="584" spans="1:9" x14ac:dyDescent="0.2">
      <c r="A584">
        <v>25</v>
      </c>
      <c r="B584" s="7" t="s">
        <v>270</v>
      </c>
      <c r="C584" s="4" t="s">
        <v>107</v>
      </c>
      <c r="D584" s="7" t="s">
        <v>274</v>
      </c>
      <c r="F584" t="s">
        <v>272</v>
      </c>
      <c r="G584" t="s">
        <v>66</v>
      </c>
      <c r="H584" s="20">
        <v>0.08</v>
      </c>
      <c r="I584" s="20">
        <v>0.06</v>
      </c>
    </row>
    <row r="585" spans="1:9" x14ac:dyDescent="0.2">
      <c r="A585">
        <v>25</v>
      </c>
      <c r="B585" s="7" t="s">
        <v>270</v>
      </c>
      <c r="C585" s="4" t="s">
        <v>107</v>
      </c>
      <c r="D585" s="7" t="s">
        <v>275</v>
      </c>
      <c r="F585" t="s">
        <v>272</v>
      </c>
      <c r="G585" t="s">
        <v>66</v>
      </c>
      <c r="H585" s="20">
        <v>0</v>
      </c>
      <c r="I585" s="20">
        <v>0</v>
      </c>
    </row>
    <row r="586" spans="1:9" x14ac:dyDescent="0.2">
      <c r="A586">
        <v>25</v>
      </c>
      <c r="B586" s="7" t="s">
        <v>270</v>
      </c>
      <c r="C586" s="4" t="s">
        <v>107</v>
      </c>
      <c r="D586" s="7" t="s">
        <v>276</v>
      </c>
      <c r="F586" t="s">
        <v>272</v>
      </c>
      <c r="G586" t="s">
        <v>66</v>
      </c>
      <c r="H586" s="20"/>
      <c r="I586" s="20"/>
    </row>
    <row r="587" spans="1:9" x14ac:dyDescent="0.2">
      <c r="A587">
        <v>25</v>
      </c>
      <c r="B587" s="7" t="s">
        <v>270</v>
      </c>
      <c r="C587" s="4" t="s">
        <v>119</v>
      </c>
      <c r="D587" s="7" t="s">
        <v>271</v>
      </c>
      <c r="F587" t="s">
        <v>277</v>
      </c>
      <c r="G587" t="s">
        <v>79</v>
      </c>
      <c r="H587" s="31">
        <v>0.3589</v>
      </c>
      <c r="I587" s="31">
        <v>0.37519999999999998</v>
      </c>
    </row>
    <row r="588" spans="1:9" x14ac:dyDescent="0.2">
      <c r="A588">
        <v>25</v>
      </c>
      <c r="B588" s="7" t="s">
        <v>270</v>
      </c>
      <c r="C588" s="4" t="s">
        <v>119</v>
      </c>
      <c r="D588" s="7" t="s">
        <v>273</v>
      </c>
      <c r="F588" t="s">
        <v>277</v>
      </c>
      <c r="G588" t="s">
        <v>79</v>
      </c>
      <c r="H588" s="31">
        <v>0.41349999999999998</v>
      </c>
      <c r="I588" s="31">
        <v>0.39400000000000002</v>
      </c>
    </row>
    <row r="589" spans="1:9" x14ac:dyDescent="0.2">
      <c r="A589">
        <v>25</v>
      </c>
      <c r="B589" s="7" t="s">
        <v>270</v>
      </c>
      <c r="C589" s="4" t="s">
        <v>119</v>
      </c>
      <c r="D589" s="7" t="s">
        <v>274</v>
      </c>
      <c r="F589" t="s">
        <v>277</v>
      </c>
      <c r="G589" t="s">
        <v>79</v>
      </c>
      <c r="H589" s="31">
        <v>0.19370000000000001</v>
      </c>
      <c r="I589" s="31">
        <v>0.19220000000000001</v>
      </c>
    </row>
    <row r="590" spans="1:9" x14ac:dyDescent="0.2">
      <c r="A590">
        <v>25</v>
      </c>
      <c r="B590" s="7" t="s">
        <v>270</v>
      </c>
      <c r="C590" s="4" t="s">
        <v>119</v>
      </c>
      <c r="D590" s="7" t="s">
        <v>275</v>
      </c>
      <c r="F590" t="s">
        <v>277</v>
      </c>
      <c r="G590" t="s">
        <v>79</v>
      </c>
      <c r="H590" s="31">
        <v>3.3799999999999997E-2</v>
      </c>
      <c r="I590" s="31">
        <v>3.7199999999999997E-2</v>
      </c>
    </row>
    <row r="591" spans="1:9" x14ac:dyDescent="0.2">
      <c r="A591">
        <v>25</v>
      </c>
      <c r="B591" s="7" t="s">
        <v>270</v>
      </c>
      <c r="C591" s="4" t="s">
        <v>119</v>
      </c>
      <c r="D591" s="7" t="s">
        <v>276</v>
      </c>
      <c r="F591" t="s">
        <v>277</v>
      </c>
      <c r="G591" t="s">
        <v>79</v>
      </c>
    </row>
    <row r="592" spans="1:9" x14ac:dyDescent="0.2">
      <c r="A592">
        <v>25</v>
      </c>
      <c r="B592" s="7" t="s">
        <v>270</v>
      </c>
      <c r="C592" s="4" t="s">
        <v>117</v>
      </c>
      <c r="D592" s="7" t="s">
        <v>271</v>
      </c>
      <c r="F592" t="s">
        <v>278</v>
      </c>
      <c r="G592" t="s">
        <v>70</v>
      </c>
      <c r="H592" s="31">
        <v>0.36</v>
      </c>
      <c r="I592" s="31">
        <v>0.38100000000000001</v>
      </c>
    </row>
    <row r="593" spans="1:9" x14ac:dyDescent="0.2">
      <c r="A593">
        <v>25</v>
      </c>
      <c r="B593" s="7" t="s">
        <v>270</v>
      </c>
      <c r="C593" s="4" t="s">
        <v>117</v>
      </c>
      <c r="D593" s="7" t="s">
        <v>273</v>
      </c>
      <c r="F593" t="s">
        <v>278</v>
      </c>
      <c r="G593" t="s">
        <v>70</v>
      </c>
      <c r="H593" s="31">
        <v>0.58299999999999996</v>
      </c>
      <c r="I593" s="31">
        <v>0.55200000000000005</v>
      </c>
    </row>
    <row r="594" spans="1:9" x14ac:dyDescent="0.2">
      <c r="A594">
        <v>25</v>
      </c>
      <c r="B594" s="7" t="s">
        <v>270</v>
      </c>
      <c r="C594" s="4" t="s">
        <v>117</v>
      </c>
      <c r="D594" s="7" t="s">
        <v>274</v>
      </c>
      <c r="F594" t="s">
        <v>278</v>
      </c>
      <c r="G594" t="s">
        <v>70</v>
      </c>
      <c r="H594" s="31">
        <v>5.8000000000000003E-2</v>
      </c>
      <c r="I594" s="31">
        <v>6.6000000000000003E-2</v>
      </c>
    </row>
    <row r="595" spans="1:9" x14ac:dyDescent="0.2">
      <c r="A595">
        <v>25</v>
      </c>
      <c r="B595" s="7" t="s">
        <v>270</v>
      </c>
      <c r="C595" s="4" t="s">
        <v>117</v>
      </c>
      <c r="D595" s="7" t="s">
        <v>275</v>
      </c>
      <c r="F595" t="s">
        <v>278</v>
      </c>
      <c r="G595" t="s">
        <v>70</v>
      </c>
      <c r="H595" t="s">
        <v>50</v>
      </c>
      <c r="I595" t="s">
        <v>50</v>
      </c>
    </row>
    <row r="596" spans="1:9" x14ac:dyDescent="0.2">
      <c r="A596">
        <v>25</v>
      </c>
      <c r="B596" s="7" t="s">
        <v>270</v>
      </c>
      <c r="C596" s="4" t="s">
        <v>117</v>
      </c>
      <c r="D596" s="7" t="s">
        <v>276</v>
      </c>
      <c r="F596" t="s">
        <v>278</v>
      </c>
      <c r="G596" t="s">
        <v>70</v>
      </c>
    </row>
    <row r="597" spans="1:9" x14ac:dyDescent="0.2">
      <c r="A597">
        <v>25</v>
      </c>
      <c r="B597" s="7" t="s">
        <v>270</v>
      </c>
      <c r="C597" s="4" t="s">
        <v>43</v>
      </c>
      <c r="D597" s="7" t="s">
        <v>271</v>
      </c>
      <c r="F597" t="s">
        <v>279</v>
      </c>
      <c r="G597" t="s">
        <v>74</v>
      </c>
      <c r="H597" s="20">
        <v>0.38</v>
      </c>
      <c r="I597" s="20">
        <v>0.43</v>
      </c>
    </row>
    <row r="598" spans="1:9" x14ac:dyDescent="0.2">
      <c r="A598">
        <v>25</v>
      </c>
      <c r="B598" s="7" t="s">
        <v>270</v>
      </c>
      <c r="C598" s="4" t="s">
        <v>43</v>
      </c>
      <c r="D598" s="7" t="s">
        <v>273</v>
      </c>
      <c r="F598" t="s">
        <v>279</v>
      </c>
      <c r="G598" t="s">
        <v>74</v>
      </c>
      <c r="H598" s="20">
        <v>0.62</v>
      </c>
      <c r="I598" s="20">
        <v>0.56999999999999995</v>
      </c>
    </row>
    <row r="599" spans="1:9" x14ac:dyDescent="0.2">
      <c r="A599">
        <v>25</v>
      </c>
      <c r="B599" s="7" t="s">
        <v>270</v>
      </c>
      <c r="C599" s="4" t="s">
        <v>43</v>
      </c>
      <c r="D599" s="7" t="s">
        <v>274</v>
      </c>
      <c r="F599" t="s">
        <v>279</v>
      </c>
      <c r="G599" t="s">
        <v>74</v>
      </c>
      <c r="H599" t="s">
        <v>50</v>
      </c>
      <c r="I599" t="s">
        <v>50</v>
      </c>
    </row>
    <row r="600" spans="1:9" x14ac:dyDescent="0.2">
      <c r="A600">
        <v>25</v>
      </c>
      <c r="B600" s="7" t="s">
        <v>270</v>
      </c>
      <c r="C600" s="4" t="s">
        <v>43</v>
      </c>
      <c r="D600" s="7" t="s">
        <v>275</v>
      </c>
      <c r="F600" t="s">
        <v>279</v>
      </c>
      <c r="G600" t="s">
        <v>74</v>
      </c>
      <c r="H600" t="s">
        <v>50</v>
      </c>
      <c r="I600" t="s">
        <v>50</v>
      </c>
    </row>
    <row r="601" spans="1:9" x14ac:dyDescent="0.2">
      <c r="A601">
        <v>25</v>
      </c>
      <c r="B601" s="7" t="s">
        <v>270</v>
      </c>
      <c r="C601" s="4" t="s">
        <v>43</v>
      </c>
      <c r="D601" s="7" t="s">
        <v>276</v>
      </c>
      <c r="F601" t="s">
        <v>279</v>
      </c>
      <c r="G601" t="s">
        <v>74</v>
      </c>
    </row>
    <row r="602" spans="1:9" x14ac:dyDescent="0.2">
      <c r="A602">
        <v>25</v>
      </c>
      <c r="B602" s="7" t="s">
        <v>270</v>
      </c>
      <c r="C602" s="4" t="s">
        <v>40</v>
      </c>
      <c r="D602" s="7" t="s">
        <v>271</v>
      </c>
      <c r="F602" t="s">
        <v>280</v>
      </c>
      <c r="G602" t="s">
        <v>68</v>
      </c>
      <c r="H602" s="20">
        <v>0.61</v>
      </c>
      <c r="I602" s="20">
        <v>0.66</v>
      </c>
    </row>
    <row r="603" spans="1:9" x14ac:dyDescent="0.2">
      <c r="A603">
        <v>25</v>
      </c>
      <c r="B603" s="7" t="s">
        <v>270</v>
      </c>
      <c r="C603" s="4" t="s">
        <v>40</v>
      </c>
      <c r="D603" s="7" t="s">
        <v>273</v>
      </c>
      <c r="F603" t="s">
        <v>280</v>
      </c>
      <c r="G603" t="s">
        <v>68</v>
      </c>
      <c r="H603" s="20">
        <v>0.36</v>
      </c>
      <c r="I603" s="20">
        <v>0.31</v>
      </c>
    </row>
    <row r="604" spans="1:9" x14ac:dyDescent="0.2">
      <c r="A604">
        <v>25</v>
      </c>
      <c r="B604" s="7" t="s">
        <v>270</v>
      </c>
      <c r="C604" s="4" t="s">
        <v>40</v>
      </c>
      <c r="D604" s="7" t="s">
        <v>274</v>
      </c>
      <c r="F604" t="s">
        <v>280</v>
      </c>
      <c r="G604" t="s">
        <v>68</v>
      </c>
      <c r="H604" s="20">
        <v>0.02</v>
      </c>
      <c r="I604" s="20">
        <v>0.02</v>
      </c>
    </row>
    <row r="605" spans="1:9" x14ac:dyDescent="0.2">
      <c r="A605">
        <v>25</v>
      </c>
      <c r="B605" s="7" t="s">
        <v>270</v>
      </c>
      <c r="C605" s="4" t="s">
        <v>40</v>
      </c>
      <c r="D605" s="7" t="s">
        <v>275</v>
      </c>
      <c r="F605" t="s">
        <v>280</v>
      </c>
      <c r="G605" t="s">
        <v>68</v>
      </c>
      <c r="H605" s="20">
        <v>0</v>
      </c>
      <c r="I605" s="20">
        <v>0.01</v>
      </c>
    </row>
    <row r="606" spans="1:9" x14ac:dyDescent="0.2">
      <c r="A606">
        <v>25</v>
      </c>
      <c r="B606" s="7" t="s">
        <v>270</v>
      </c>
      <c r="C606" s="4" t="s">
        <v>40</v>
      </c>
      <c r="D606" s="7" t="s">
        <v>276</v>
      </c>
      <c r="F606" t="s">
        <v>280</v>
      </c>
      <c r="G606" t="s">
        <v>68</v>
      </c>
    </row>
    <row r="607" spans="1:9" x14ac:dyDescent="0.2">
      <c r="A607">
        <v>25</v>
      </c>
      <c r="B607" s="7" t="s">
        <v>270</v>
      </c>
      <c r="C607" s="4" t="s">
        <v>75</v>
      </c>
      <c r="D607" s="7" t="s">
        <v>271</v>
      </c>
      <c r="F607" t="s">
        <v>281</v>
      </c>
      <c r="G607" t="s">
        <v>77</v>
      </c>
      <c r="H607" s="20">
        <v>1</v>
      </c>
      <c r="I607" s="20">
        <v>1</v>
      </c>
    </row>
    <row r="608" spans="1:9" x14ac:dyDescent="0.2">
      <c r="A608">
        <v>25</v>
      </c>
      <c r="B608" s="7" t="s">
        <v>270</v>
      </c>
      <c r="C608" s="4" t="s">
        <v>75</v>
      </c>
      <c r="D608" s="7" t="s">
        <v>273</v>
      </c>
      <c r="F608" t="s">
        <v>281</v>
      </c>
      <c r="G608" t="s">
        <v>77</v>
      </c>
      <c r="H608" t="s">
        <v>50</v>
      </c>
      <c r="I608" t="s">
        <v>50</v>
      </c>
    </row>
    <row r="609" spans="1:9" x14ac:dyDescent="0.2">
      <c r="A609">
        <v>25</v>
      </c>
      <c r="B609" s="7" t="s">
        <v>270</v>
      </c>
      <c r="C609" s="4" t="s">
        <v>75</v>
      </c>
      <c r="D609" s="7" t="s">
        <v>274</v>
      </c>
      <c r="F609" t="s">
        <v>281</v>
      </c>
      <c r="G609" t="s">
        <v>77</v>
      </c>
      <c r="H609" t="s">
        <v>50</v>
      </c>
      <c r="I609" t="s">
        <v>50</v>
      </c>
    </row>
    <row r="610" spans="1:9" x14ac:dyDescent="0.2">
      <c r="A610">
        <v>25</v>
      </c>
      <c r="B610" s="7" t="s">
        <v>270</v>
      </c>
      <c r="C610" s="4" t="s">
        <v>75</v>
      </c>
      <c r="D610" s="7" t="s">
        <v>275</v>
      </c>
      <c r="F610" t="s">
        <v>281</v>
      </c>
      <c r="G610" t="s">
        <v>77</v>
      </c>
      <c r="H610" t="s">
        <v>50</v>
      </c>
      <c r="I610" t="s">
        <v>50</v>
      </c>
    </row>
    <row r="611" spans="1:9" x14ac:dyDescent="0.2">
      <c r="A611">
        <v>25</v>
      </c>
      <c r="B611" s="7" t="s">
        <v>270</v>
      </c>
      <c r="C611" s="4" t="s">
        <v>75</v>
      </c>
      <c r="D611" s="7" t="s">
        <v>276</v>
      </c>
      <c r="F611" t="s">
        <v>281</v>
      </c>
      <c r="G611" t="s">
        <v>77</v>
      </c>
    </row>
    <row r="612" spans="1:9" x14ac:dyDescent="0.2">
      <c r="A612">
        <v>25</v>
      </c>
      <c r="B612" s="7" t="s">
        <v>270</v>
      </c>
      <c r="C612" s="4" t="s">
        <v>42</v>
      </c>
      <c r="D612" s="7" t="s">
        <v>271</v>
      </c>
      <c r="F612" t="s">
        <v>282</v>
      </c>
      <c r="G612" t="s">
        <v>72</v>
      </c>
      <c r="H612" s="31">
        <v>0.59570000000000001</v>
      </c>
      <c r="I612" s="31">
        <v>0.72850000000000004</v>
      </c>
    </row>
    <row r="613" spans="1:9" x14ac:dyDescent="0.2">
      <c r="A613">
        <v>25</v>
      </c>
      <c r="B613" s="7" t="s">
        <v>270</v>
      </c>
      <c r="C613" s="4" t="s">
        <v>42</v>
      </c>
      <c r="D613" s="7" t="s">
        <v>273</v>
      </c>
      <c r="F613" t="s">
        <v>282</v>
      </c>
      <c r="G613" t="s">
        <v>72</v>
      </c>
      <c r="H613" s="31">
        <v>0.37809999999999999</v>
      </c>
      <c r="I613" s="31">
        <v>0.26079999999999998</v>
      </c>
    </row>
    <row r="614" spans="1:9" x14ac:dyDescent="0.2">
      <c r="A614">
        <v>25</v>
      </c>
      <c r="B614" s="7" t="s">
        <v>270</v>
      </c>
      <c r="C614" s="4" t="s">
        <v>42</v>
      </c>
      <c r="D614" s="7" t="s">
        <v>274</v>
      </c>
      <c r="F614" t="s">
        <v>282</v>
      </c>
      <c r="G614" t="s">
        <v>72</v>
      </c>
      <c r="H614" s="31">
        <v>0</v>
      </c>
      <c r="I614" s="31">
        <v>0</v>
      </c>
    </row>
    <row r="615" spans="1:9" x14ac:dyDescent="0.2">
      <c r="A615">
        <v>25</v>
      </c>
      <c r="B615" s="7" t="s">
        <v>270</v>
      </c>
      <c r="C615" s="4" t="s">
        <v>42</v>
      </c>
      <c r="D615" s="7" t="s">
        <v>275</v>
      </c>
      <c r="F615" t="s">
        <v>282</v>
      </c>
      <c r="G615" t="s">
        <v>72</v>
      </c>
      <c r="H615" s="31">
        <v>0</v>
      </c>
      <c r="I615" s="31">
        <v>0</v>
      </c>
    </row>
    <row r="616" spans="1:9" x14ac:dyDescent="0.2">
      <c r="A616">
        <v>25</v>
      </c>
      <c r="B616" s="7" t="s">
        <v>270</v>
      </c>
      <c r="C616" s="4" t="s">
        <v>42</v>
      </c>
      <c r="D616" s="7" t="s">
        <v>276</v>
      </c>
      <c r="F616" t="s">
        <v>282</v>
      </c>
      <c r="G616" t="s">
        <v>72</v>
      </c>
    </row>
    <row r="617" spans="1:9" x14ac:dyDescent="0.2">
      <c r="A617">
        <v>26</v>
      </c>
      <c r="B617" s="7" t="s">
        <v>270</v>
      </c>
      <c r="C617" s="4" t="s">
        <v>107</v>
      </c>
      <c r="D617" s="7" t="s">
        <v>283</v>
      </c>
      <c r="E617" s="7" t="s">
        <v>284</v>
      </c>
      <c r="F617" t="s">
        <v>272</v>
      </c>
      <c r="G617" t="s">
        <v>66</v>
      </c>
      <c r="H617" s="20">
        <v>0.08</v>
      </c>
      <c r="I617" s="20">
        <v>0.1</v>
      </c>
    </row>
    <row r="618" spans="1:9" x14ac:dyDescent="0.2">
      <c r="A618">
        <v>26</v>
      </c>
      <c r="B618" s="7" t="s">
        <v>270</v>
      </c>
      <c r="C618" s="4" t="s">
        <v>107</v>
      </c>
      <c r="D618" s="7" t="s">
        <v>285</v>
      </c>
      <c r="E618" s="7" t="s">
        <v>286</v>
      </c>
      <c r="F618" t="s">
        <v>272</v>
      </c>
      <c r="G618" t="s">
        <v>66</v>
      </c>
      <c r="H618" s="20">
        <v>0.24</v>
      </c>
      <c r="I618" s="20">
        <v>0.2</v>
      </c>
    </row>
    <row r="619" spans="1:9" x14ac:dyDescent="0.2">
      <c r="A619">
        <v>26</v>
      </c>
      <c r="B619" s="7" t="s">
        <v>270</v>
      </c>
      <c r="C619" s="4" t="s">
        <v>107</v>
      </c>
      <c r="D619" s="7" t="s">
        <v>287</v>
      </c>
      <c r="E619" s="7" t="s">
        <v>288</v>
      </c>
      <c r="F619" t="s">
        <v>272</v>
      </c>
      <c r="G619" t="s">
        <v>66</v>
      </c>
      <c r="H619" s="20">
        <v>0.32</v>
      </c>
      <c r="I619" s="20">
        <v>0.4</v>
      </c>
    </row>
    <row r="620" spans="1:9" x14ac:dyDescent="0.2">
      <c r="A620">
        <v>26</v>
      </c>
      <c r="B620" s="7" t="s">
        <v>270</v>
      </c>
      <c r="C620" s="4" t="s">
        <v>107</v>
      </c>
      <c r="D620" s="7" t="s">
        <v>289</v>
      </c>
      <c r="E620" s="7" t="s">
        <v>290</v>
      </c>
      <c r="F620" t="s">
        <v>272</v>
      </c>
      <c r="G620" t="s">
        <v>66</v>
      </c>
      <c r="H620" s="20">
        <v>0.22</v>
      </c>
      <c r="I620" s="20">
        <v>0.2</v>
      </c>
    </row>
    <row r="621" spans="1:9" x14ac:dyDescent="0.2">
      <c r="A621">
        <v>26</v>
      </c>
      <c r="B621" s="7" t="s">
        <v>270</v>
      </c>
      <c r="C621" s="4" t="s">
        <v>107</v>
      </c>
      <c r="D621" s="7" t="s">
        <v>291</v>
      </c>
      <c r="E621" s="7" t="s">
        <v>292</v>
      </c>
      <c r="F621" t="s">
        <v>272</v>
      </c>
      <c r="G621" t="s">
        <v>66</v>
      </c>
      <c r="H621" s="20">
        <v>0.14000000000000001</v>
      </c>
      <c r="I621" s="20">
        <v>0.1</v>
      </c>
    </row>
    <row r="622" spans="1:9" x14ac:dyDescent="0.2">
      <c r="A622">
        <v>26</v>
      </c>
      <c r="B622" s="7" t="s">
        <v>270</v>
      </c>
      <c r="C622" s="4" t="s">
        <v>119</v>
      </c>
      <c r="D622" s="7" t="s">
        <v>283</v>
      </c>
      <c r="E622" s="7" t="s">
        <v>284</v>
      </c>
      <c r="F622" t="s">
        <v>277</v>
      </c>
      <c r="G622" t="s">
        <v>79</v>
      </c>
      <c r="H622" s="31">
        <v>0.17080000000000001</v>
      </c>
      <c r="I622" s="31">
        <v>0.12670000000000001</v>
      </c>
    </row>
    <row r="623" spans="1:9" x14ac:dyDescent="0.2">
      <c r="A623">
        <v>26</v>
      </c>
      <c r="B623" s="7" t="s">
        <v>270</v>
      </c>
      <c r="C623" s="4" t="s">
        <v>119</v>
      </c>
      <c r="D623" s="7" t="s">
        <v>285</v>
      </c>
      <c r="E623" s="7" t="s">
        <v>286</v>
      </c>
      <c r="F623" t="s">
        <v>277</v>
      </c>
      <c r="G623" t="s">
        <v>79</v>
      </c>
      <c r="H623" s="31">
        <v>0.16139999999999999</v>
      </c>
      <c r="I623" s="31">
        <v>0.15959999999999999</v>
      </c>
    </row>
    <row r="624" spans="1:9" x14ac:dyDescent="0.2">
      <c r="A624">
        <v>26</v>
      </c>
      <c r="B624" s="7" t="s">
        <v>270</v>
      </c>
      <c r="C624" s="4" t="s">
        <v>119</v>
      </c>
      <c r="D624" s="7" t="s">
        <v>287</v>
      </c>
      <c r="E624" s="7" t="s">
        <v>288</v>
      </c>
      <c r="F624" t="s">
        <v>277</v>
      </c>
      <c r="G624" t="s">
        <v>79</v>
      </c>
      <c r="H624" s="31">
        <v>0.51170000000000004</v>
      </c>
      <c r="I624" s="31">
        <v>0.53849999999999998</v>
      </c>
    </row>
    <row r="625" spans="1:9" x14ac:dyDescent="0.2">
      <c r="A625">
        <v>26</v>
      </c>
      <c r="B625" s="7" t="s">
        <v>270</v>
      </c>
      <c r="C625" s="4" t="s">
        <v>119</v>
      </c>
      <c r="D625" s="7" t="s">
        <v>289</v>
      </c>
      <c r="E625" s="7" t="s">
        <v>290</v>
      </c>
      <c r="F625" t="s">
        <v>277</v>
      </c>
      <c r="G625" t="s">
        <v>79</v>
      </c>
      <c r="H625" s="31">
        <v>0.1067</v>
      </c>
      <c r="I625" s="31">
        <v>0.1482</v>
      </c>
    </row>
    <row r="626" spans="1:9" x14ac:dyDescent="0.2">
      <c r="A626">
        <v>26</v>
      </c>
      <c r="B626" s="7" t="s">
        <v>270</v>
      </c>
      <c r="C626" s="4" t="s">
        <v>119</v>
      </c>
      <c r="D626" s="7" t="s">
        <v>291</v>
      </c>
      <c r="E626" s="7" t="s">
        <v>292</v>
      </c>
      <c r="F626" t="s">
        <v>277</v>
      </c>
      <c r="G626" t="s">
        <v>79</v>
      </c>
      <c r="H626" s="31">
        <v>4.9500000000000002E-2</v>
      </c>
      <c r="I626" s="31">
        <v>2.7E-2</v>
      </c>
    </row>
    <row r="627" spans="1:9" x14ac:dyDescent="0.2">
      <c r="A627">
        <v>26</v>
      </c>
      <c r="B627" s="7" t="s">
        <v>270</v>
      </c>
      <c r="C627" s="4" t="s">
        <v>117</v>
      </c>
      <c r="D627" s="7" t="s">
        <v>283</v>
      </c>
      <c r="E627" s="7" t="s">
        <v>284</v>
      </c>
      <c r="F627" t="s">
        <v>278</v>
      </c>
      <c r="G627" t="s">
        <v>70</v>
      </c>
      <c r="H627" s="31">
        <v>9.8000000000000004E-2</v>
      </c>
      <c r="I627" s="31">
        <v>0.129</v>
      </c>
    </row>
    <row r="628" spans="1:9" x14ac:dyDescent="0.2">
      <c r="A628">
        <v>26</v>
      </c>
      <c r="B628" s="7" t="s">
        <v>270</v>
      </c>
      <c r="C628" s="4" t="s">
        <v>117</v>
      </c>
      <c r="D628" s="7" t="s">
        <v>285</v>
      </c>
      <c r="E628" s="7" t="s">
        <v>286</v>
      </c>
      <c r="F628" t="s">
        <v>278</v>
      </c>
      <c r="G628" t="s">
        <v>70</v>
      </c>
      <c r="H628" s="31">
        <v>0.16500000000000001</v>
      </c>
      <c r="I628" s="31">
        <v>0.161</v>
      </c>
    </row>
    <row r="629" spans="1:9" x14ac:dyDescent="0.2">
      <c r="A629">
        <v>26</v>
      </c>
      <c r="B629" s="7" t="s">
        <v>270</v>
      </c>
      <c r="C629" s="4" t="s">
        <v>117</v>
      </c>
      <c r="D629" s="7" t="s">
        <v>287</v>
      </c>
      <c r="E629" s="7" t="s">
        <v>288</v>
      </c>
      <c r="F629" t="s">
        <v>278</v>
      </c>
      <c r="G629" t="s">
        <v>70</v>
      </c>
      <c r="H629" s="31">
        <v>0.27400000000000002</v>
      </c>
      <c r="I629" s="31">
        <v>0.245</v>
      </c>
    </row>
    <row r="630" spans="1:9" x14ac:dyDescent="0.2">
      <c r="A630">
        <v>26</v>
      </c>
      <c r="B630" s="7" t="s">
        <v>270</v>
      </c>
      <c r="C630" s="4" t="s">
        <v>117</v>
      </c>
      <c r="D630" s="7" t="s">
        <v>289</v>
      </c>
      <c r="E630" s="7" t="s">
        <v>290</v>
      </c>
      <c r="F630" t="s">
        <v>278</v>
      </c>
      <c r="G630" t="s">
        <v>70</v>
      </c>
      <c r="H630" s="31">
        <v>0.374</v>
      </c>
      <c r="I630" s="31">
        <v>0.35799999999999998</v>
      </c>
    </row>
    <row r="631" spans="1:9" x14ac:dyDescent="0.2">
      <c r="A631">
        <v>26</v>
      </c>
      <c r="B631" s="7" t="s">
        <v>270</v>
      </c>
      <c r="C631" s="4" t="s">
        <v>117</v>
      </c>
      <c r="D631" s="7" t="s">
        <v>291</v>
      </c>
      <c r="E631" s="7" t="s">
        <v>292</v>
      </c>
      <c r="F631" t="s">
        <v>278</v>
      </c>
      <c r="G631" t="s">
        <v>70</v>
      </c>
      <c r="H631" s="31">
        <v>8.8999999999999996E-2</v>
      </c>
      <c r="I631" s="31">
        <v>0.108</v>
      </c>
    </row>
    <row r="632" spans="1:9" x14ac:dyDescent="0.2">
      <c r="A632">
        <v>26</v>
      </c>
      <c r="B632" s="7" t="s">
        <v>270</v>
      </c>
      <c r="C632" s="4" t="s">
        <v>43</v>
      </c>
      <c r="D632" s="7" t="s">
        <v>283</v>
      </c>
      <c r="E632" s="7" t="s">
        <v>284</v>
      </c>
      <c r="F632" t="s">
        <v>279</v>
      </c>
      <c r="G632" t="s">
        <v>74</v>
      </c>
      <c r="H632" s="20">
        <v>0.16</v>
      </c>
      <c r="I632" s="20">
        <v>0.06</v>
      </c>
    </row>
    <row r="633" spans="1:9" x14ac:dyDescent="0.2">
      <c r="A633">
        <v>26</v>
      </c>
      <c r="B633" s="7" t="s">
        <v>270</v>
      </c>
      <c r="C633" s="4" t="s">
        <v>43</v>
      </c>
      <c r="D633" s="7" t="s">
        <v>285</v>
      </c>
      <c r="E633" s="7" t="s">
        <v>286</v>
      </c>
      <c r="F633" t="s">
        <v>279</v>
      </c>
      <c r="G633" t="s">
        <v>74</v>
      </c>
      <c r="H633" s="20">
        <v>21589</v>
      </c>
      <c r="I633" s="20">
        <v>0.34</v>
      </c>
    </row>
    <row r="634" spans="1:9" x14ac:dyDescent="0.2">
      <c r="A634">
        <v>26</v>
      </c>
      <c r="B634" s="7" t="s">
        <v>270</v>
      </c>
      <c r="C634" s="4" t="s">
        <v>43</v>
      </c>
      <c r="D634" s="7" t="s">
        <v>287</v>
      </c>
      <c r="E634" s="7" t="s">
        <v>288</v>
      </c>
      <c r="F634" t="s">
        <v>279</v>
      </c>
      <c r="G634" t="s">
        <v>74</v>
      </c>
      <c r="H634" s="20">
        <v>0.16</v>
      </c>
      <c r="I634" s="20">
        <v>0.4</v>
      </c>
    </row>
    <row r="635" spans="1:9" x14ac:dyDescent="0.2">
      <c r="A635">
        <v>26</v>
      </c>
      <c r="B635" s="7" t="s">
        <v>270</v>
      </c>
      <c r="C635" s="4" t="s">
        <v>43</v>
      </c>
      <c r="D635" s="7" t="s">
        <v>289</v>
      </c>
      <c r="E635" s="7" t="s">
        <v>290</v>
      </c>
      <c r="F635" t="s">
        <v>279</v>
      </c>
      <c r="G635" t="s">
        <v>74</v>
      </c>
      <c r="H635" s="20">
        <v>0.24</v>
      </c>
      <c r="I635" s="20">
        <v>0.14000000000000001</v>
      </c>
    </row>
    <row r="636" spans="1:9" x14ac:dyDescent="0.2">
      <c r="A636">
        <v>26</v>
      </c>
      <c r="B636" s="7" t="s">
        <v>270</v>
      </c>
      <c r="C636" s="4" t="s">
        <v>43</v>
      </c>
      <c r="D636" s="7" t="s">
        <v>291</v>
      </c>
      <c r="E636" s="7" t="s">
        <v>292</v>
      </c>
      <c r="F636" t="s">
        <v>279</v>
      </c>
      <c r="G636" t="s">
        <v>74</v>
      </c>
      <c r="H636" s="20">
        <v>0.09</v>
      </c>
      <c r="I636" s="20">
        <v>0.06</v>
      </c>
    </row>
    <row r="637" spans="1:9" x14ac:dyDescent="0.2">
      <c r="A637">
        <v>26</v>
      </c>
      <c r="B637" s="7" t="s">
        <v>270</v>
      </c>
      <c r="C637" s="4" t="s">
        <v>40</v>
      </c>
      <c r="D637" s="7" t="s">
        <v>283</v>
      </c>
      <c r="E637" s="7" t="s">
        <v>284</v>
      </c>
      <c r="F637" t="s">
        <v>280</v>
      </c>
      <c r="G637" t="s">
        <v>68</v>
      </c>
      <c r="H637" s="20">
        <v>0.11</v>
      </c>
      <c r="I637" s="20">
        <v>0.08</v>
      </c>
    </row>
    <row r="638" spans="1:9" x14ac:dyDescent="0.2">
      <c r="A638">
        <v>26</v>
      </c>
      <c r="B638" s="7" t="s">
        <v>270</v>
      </c>
      <c r="C638" s="4" t="s">
        <v>40</v>
      </c>
      <c r="D638" s="7" t="s">
        <v>285</v>
      </c>
      <c r="E638" s="7" t="s">
        <v>286</v>
      </c>
      <c r="F638" t="s">
        <v>280</v>
      </c>
      <c r="G638" t="s">
        <v>68</v>
      </c>
      <c r="H638" s="20">
        <v>21589</v>
      </c>
      <c r="I638" s="20">
        <v>0.22</v>
      </c>
    </row>
    <row r="639" spans="1:9" x14ac:dyDescent="0.2">
      <c r="A639">
        <v>26</v>
      </c>
      <c r="B639" s="7" t="s">
        <v>270</v>
      </c>
      <c r="C639" s="4" t="s">
        <v>40</v>
      </c>
      <c r="D639" s="7" t="s">
        <v>287</v>
      </c>
      <c r="E639" s="7" t="s">
        <v>288</v>
      </c>
      <c r="F639" t="s">
        <v>280</v>
      </c>
      <c r="G639" t="s">
        <v>68</v>
      </c>
      <c r="H639" s="20">
        <v>0.18</v>
      </c>
      <c r="I639" s="20">
        <v>0.35</v>
      </c>
    </row>
    <row r="640" spans="1:9" x14ac:dyDescent="0.2">
      <c r="A640">
        <v>26</v>
      </c>
      <c r="B640" s="7" t="s">
        <v>270</v>
      </c>
      <c r="C640" s="4" t="s">
        <v>40</v>
      </c>
      <c r="D640" s="7" t="s">
        <v>289</v>
      </c>
      <c r="E640" s="7" t="s">
        <v>290</v>
      </c>
      <c r="F640" t="s">
        <v>280</v>
      </c>
      <c r="G640" t="s">
        <v>68</v>
      </c>
      <c r="H640" s="20">
        <v>0.22</v>
      </c>
      <c r="I640" s="20">
        <v>0.15</v>
      </c>
    </row>
    <row r="641" spans="1:9" x14ac:dyDescent="0.2">
      <c r="A641">
        <v>26</v>
      </c>
      <c r="B641" s="7" t="s">
        <v>270</v>
      </c>
      <c r="C641" s="4" t="s">
        <v>40</v>
      </c>
      <c r="D641" s="7" t="s">
        <v>291</v>
      </c>
      <c r="E641" s="7" t="s">
        <v>292</v>
      </c>
      <c r="F641" t="s">
        <v>280</v>
      </c>
      <c r="G641" t="s">
        <v>68</v>
      </c>
      <c r="H641" s="20">
        <v>0.2</v>
      </c>
      <c r="I641" s="20">
        <v>0.15</v>
      </c>
    </row>
    <row r="642" spans="1:9" x14ac:dyDescent="0.2">
      <c r="A642">
        <v>26</v>
      </c>
      <c r="B642" s="7" t="s">
        <v>270</v>
      </c>
      <c r="C642" s="4" t="s">
        <v>75</v>
      </c>
      <c r="D642" s="7" t="s">
        <v>283</v>
      </c>
      <c r="E642" s="7" t="s">
        <v>284</v>
      </c>
      <c r="F642" t="s">
        <v>281</v>
      </c>
      <c r="G642" t="s">
        <v>77</v>
      </c>
      <c r="H642" t="s">
        <v>50</v>
      </c>
      <c r="I642" s="20">
        <v>0.21</v>
      </c>
    </row>
    <row r="643" spans="1:9" x14ac:dyDescent="0.2">
      <c r="A643">
        <v>26</v>
      </c>
      <c r="B643" s="7" t="s">
        <v>270</v>
      </c>
      <c r="C643" s="4" t="s">
        <v>75</v>
      </c>
      <c r="D643" s="7" t="s">
        <v>285</v>
      </c>
      <c r="E643" s="7" t="s">
        <v>286</v>
      </c>
      <c r="F643" t="s">
        <v>281</v>
      </c>
      <c r="G643" t="s">
        <v>77</v>
      </c>
      <c r="H643" t="s">
        <v>50</v>
      </c>
      <c r="I643" s="20" t="s">
        <v>50</v>
      </c>
    </row>
    <row r="644" spans="1:9" x14ac:dyDescent="0.2">
      <c r="A644">
        <v>26</v>
      </c>
      <c r="B644" s="7" t="s">
        <v>270</v>
      </c>
      <c r="C644" s="4" t="s">
        <v>75</v>
      </c>
      <c r="D644" s="7" t="s">
        <v>287</v>
      </c>
      <c r="E644" s="7" t="s">
        <v>288</v>
      </c>
      <c r="F644" t="s">
        <v>281</v>
      </c>
      <c r="G644" t="s">
        <v>77</v>
      </c>
      <c r="H644">
        <v>0.33</v>
      </c>
      <c r="I644" s="20">
        <v>0.28999999999999998</v>
      </c>
    </row>
    <row r="645" spans="1:9" x14ac:dyDescent="0.2">
      <c r="A645">
        <v>26</v>
      </c>
      <c r="B645" s="7" t="s">
        <v>270</v>
      </c>
      <c r="C645" s="4" t="s">
        <v>75</v>
      </c>
      <c r="D645" s="7" t="s">
        <v>289</v>
      </c>
      <c r="E645" s="7" t="s">
        <v>290</v>
      </c>
      <c r="F645" t="s">
        <v>281</v>
      </c>
      <c r="G645" t="s">
        <v>77</v>
      </c>
      <c r="H645">
        <v>0.67</v>
      </c>
      <c r="I645" s="20">
        <v>0.5</v>
      </c>
    </row>
    <row r="646" spans="1:9" x14ac:dyDescent="0.2">
      <c r="A646">
        <v>26</v>
      </c>
      <c r="B646" s="7" t="s">
        <v>270</v>
      </c>
      <c r="C646" s="4" t="s">
        <v>75</v>
      </c>
      <c r="D646" s="7" t="s">
        <v>291</v>
      </c>
      <c r="E646" s="7" t="s">
        <v>292</v>
      </c>
      <c r="F646" t="s">
        <v>281</v>
      </c>
      <c r="G646" t="s">
        <v>77</v>
      </c>
      <c r="H646" t="s">
        <v>50</v>
      </c>
      <c r="I646" s="20" t="s">
        <v>50</v>
      </c>
    </row>
    <row r="647" spans="1:9" x14ac:dyDescent="0.2">
      <c r="A647">
        <v>26</v>
      </c>
      <c r="B647" s="7" t="s">
        <v>270</v>
      </c>
      <c r="C647" s="4" t="s">
        <v>42</v>
      </c>
      <c r="D647" s="7" t="s">
        <v>283</v>
      </c>
      <c r="E647" s="7" t="s">
        <v>284</v>
      </c>
      <c r="F647" t="s">
        <v>282</v>
      </c>
      <c r="G647" t="s">
        <v>72</v>
      </c>
      <c r="H647" s="31">
        <v>3.1300000000000001E-2</v>
      </c>
      <c r="I647" s="31">
        <v>1.0699999999999999E-2</v>
      </c>
    </row>
    <row r="648" spans="1:9" x14ac:dyDescent="0.2">
      <c r="A648">
        <v>26</v>
      </c>
      <c r="B648" s="7" t="s">
        <v>270</v>
      </c>
      <c r="C648" s="4" t="s">
        <v>42</v>
      </c>
      <c r="D648" s="7" t="s">
        <v>285</v>
      </c>
      <c r="E648" s="7" t="s">
        <v>286</v>
      </c>
      <c r="F648" t="s">
        <v>282</v>
      </c>
      <c r="G648" t="s">
        <v>72</v>
      </c>
      <c r="H648" s="31">
        <v>0.29270000000000002</v>
      </c>
      <c r="I648" s="31">
        <v>0.17069999999999999</v>
      </c>
    </row>
    <row r="649" spans="1:9" x14ac:dyDescent="0.2">
      <c r="A649">
        <v>26</v>
      </c>
      <c r="B649" s="7" t="s">
        <v>270</v>
      </c>
      <c r="C649" s="4" t="s">
        <v>42</v>
      </c>
      <c r="D649" s="7" t="s">
        <v>287</v>
      </c>
      <c r="E649" s="7" t="s">
        <v>288</v>
      </c>
      <c r="F649" t="s">
        <v>282</v>
      </c>
      <c r="G649" t="s">
        <v>72</v>
      </c>
      <c r="H649" s="31">
        <v>0.43440000000000001</v>
      </c>
      <c r="I649" s="31">
        <v>0.63880000000000003</v>
      </c>
    </row>
    <row r="650" spans="1:9" x14ac:dyDescent="0.2">
      <c r="A650">
        <v>26</v>
      </c>
      <c r="B650" s="7" t="s">
        <v>270</v>
      </c>
      <c r="C650" s="4" t="s">
        <v>42</v>
      </c>
      <c r="D650" s="7" t="s">
        <v>289</v>
      </c>
      <c r="E650" s="7" t="s">
        <v>290</v>
      </c>
      <c r="F650" t="s">
        <v>282</v>
      </c>
      <c r="G650" t="s">
        <v>72</v>
      </c>
      <c r="H650" s="31">
        <v>0.216</v>
      </c>
      <c r="I650" s="31">
        <v>0.17979999999999999</v>
      </c>
    </row>
    <row r="651" spans="1:9" x14ac:dyDescent="0.2">
      <c r="A651">
        <v>26</v>
      </c>
      <c r="B651" s="7" t="s">
        <v>270</v>
      </c>
      <c r="C651" s="4" t="s">
        <v>42</v>
      </c>
      <c r="D651" s="7" t="s">
        <v>291</v>
      </c>
      <c r="E651" s="7" t="s">
        <v>292</v>
      </c>
      <c r="F651" t="s">
        <v>282</v>
      </c>
      <c r="G651" t="s">
        <v>72</v>
      </c>
      <c r="H651" s="31">
        <v>2.5499999999999998E-2</v>
      </c>
      <c r="I651" s="31">
        <v>0</v>
      </c>
    </row>
    <row r="652" spans="1:9" x14ac:dyDescent="0.2">
      <c r="A652">
        <v>27</v>
      </c>
      <c r="B652" s="7" t="s">
        <v>293</v>
      </c>
      <c r="C652" s="4" t="s">
        <v>107</v>
      </c>
      <c r="D652" s="7" t="s">
        <v>294</v>
      </c>
      <c r="F652" t="s">
        <v>170</v>
      </c>
      <c r="G652" t="s">
        <v>66</v>
      </c>
      <c r="H652" s="24">
        <v>5706.25</v>
      </c>
      <c r="I652" s="24">
        <v>4683.58</v>
      </c>
    </row>
    <row r="653" spans="1:9" x14ac:dyDescent="0.2">
      <c r="A653">
        <v>27</v>
      </c>
      <c r="B653" s="7" t="s">
        <v>293</v>
      </c>
      <c r="C653" s="4" t="s">
        <v>119</v>
      </c>
      <c r="D653" s="7" t="s">
        <v>294</v>
      </c>
      <c r="F653" t="s">
        <v>186</v>
      </c>
      <c r="G653" t="s">
        <v>79</v>
      </c>
      <c r="H653" s="24">
        <v>12638.21</v>
      </c>
      <c r="I653" s="24">
        <v>11603.13</v>
      </c>
    </row>
    <row r="654" spans="1:9" x14ac:dyDescent="0.2">
      <c r="A654">
        <v>27</v>
      </c>
      <c r="B654" s="7" t="s">
        <v>293</v>
      </c>
      <c r="C654" s="4" t="s">
        <v>117</v>
      </c>
      <c r="D654" s="7" t="s">
        <v>294</v>
      </c>
      <c r="F654" t="s">
        <v>183</v>
      </c>
      <c r="G654" t="s">
        <v>70</v>
      </c>
      <c r="H654" s="24">
        <v>6878.94</v>
      </c>
      <c r="I654" s="24">
        <v>6013.55</v>
      </c>
    </row>
    <row r="655" spans="1:9" x14ac:dyDescent="0.2">
      <c r="A655">
        <v>27</v>
      </c>
      <c r="B655" s="7" t="s">
        <v>293</v>
      </c>
      <c r="C655" s="4" t="s">
        <v>43</v>
      </c>
      <c r="D655" s="7" t="s">
        <v>294</v>
      </c>
      <c r="F655" t="s">
        <v>189</v>
      </c>
      <c r="G655" t="s">
        <v>74</v>
      </c>
      <c r="H655" s="24">
        <v>1545.42</v>
      </c>
      <c r="I655" s="24">
        <v>1209.68</v>
      </c>
    </row>
    <row r="656" spans="1:9" x14ac:dyDescent="0.2">
      <c r="A656">
        <v>27</v>
      </c>
      <c r="B656" s="7" t="s">
        <v>293</v>
      </c>
      <c r="C656" s="4" t="s">
        <v>40</v>
      </c>
      <c r="D656" s="7" t="s">
        <v>294</v>
      </c>
      <c r="F656" t="s">
        <v>180</v>
      </c>
      <c r="G656" t="s">
        <v>68</v>
      </c>
      <c r="H656" s="24">
        <v>4418.17</v>
      </c>
      <c r="I656" s="24">
        <v>3218.57</v>
      </c>
    </row>
    <row r="657" spans="1:9" x14ac:dyDescent="0.2">
      <c r="A657">
        <v>27</v>
      </c>
      <c r="B657" s="7" t="s">
        <v>293</v>
      </c>
      <c r="C657" s="4" t="s">
        <v>75</v>
      </c>
      <c r="D657" s="7" t="s">
        <v>294</v>
      </c>
      <c r="F657" t="s">
        <v>192</v>
      </c>
      <c r="G657" t="s">
        <v>77</v>
      </c>
      <c r="H657" s="24">
        <v>23.9498</v>
      </c>
      <c r="I657" s="24">
        <v>0.65010000000000001</v>
      </c>
    </row>
    <row r="658" spans="1:9" x14ac:dyDescent="0.2">
      <c r="A658">
        <v>27</v>
      </c>
      <c r="B658" s="7" t="s">
        <v>293</v>
      </c>
      <c r="C658" s="4" t="s">
        <v>42</v>
      </c>
      <c r="D658" s="7" t="s">
        <v>294</v>
      </c>
      <c r="F658" t="s">
        <v>195</v>
      </c>
      <c r="G658" t="s">
        <v>72</v>
      </c>
      <c r="H658" s="24">
        <v>2.3780000000000001</v>
      </c>
      <c r="I658" s="24">
        <v>2.3780000000000001</v>
      </c>
    </row>
    <row r="659" spans="1:9" x14ac:dyDescent="0.2">
      <c r="A659">
        <v>27</v>
      </c>
      <c r="B659" s="7" t="s">
        <v>293</v>
      </c>
      <c r="C659" s="4" t="s">
        <v>107</v>
      </c>
      <c r="D659" s="7" t="s">
        <v>177</v>
      </c>
      <c r="F659" t="s">
        <v>178</v>
      </c>
      <c r="G659" t="s">
        <v>66</v>
      </c>
      <c r="H659" s="45">
        <v>-214.35</v>
      </c>
      <c r="I659" s="45">
        <v>7.44</v>
      </c>
    </row>
    <row r="660" spans="1:9" x14ac:dyDescent="0.2">
      <c r="A660">
        <v>27</v>
      </c>
      <c r="B660" s="7" t="s">
        <v>293</v>
      </c>
      <c r="C660" s="4" t="s">
        <v>119</v>
      </c>
      <c r="D660" s="7" t="s">
        <v>177</v>
      </c>
      <c r="F660" t="s">
        <v>188</v>
      </c>
      <c r="G660" t="s">
        <v>79</v>
      </c>
      <c r="H660" s="45">
        <v>603.12</v>
      </c>
      <c r="I660" s="45">
        <v>861.92</v>
      </c>
    </row>
    <row r="661" spans="1:9" x14ac:dyDescent="0.2">
      <c r="A661">
        <v>27</v>
      </c>
      <c r="B661" s="7" t="s">
        <v>293</v>
      </c>
      <c r="C661" s="4" t="s">
        <v>117</v>
      </c>
      <c r="D661" s="7" t="s">
        <v>177</v>
      </c>
      <c r="F661" t="s">
        <v>185</v>
      </c>
      <c r="G661" t="s">
        <v>70</v>
      </c>
      <c r="H661" s="45">
        <v>-89.33</v>
      </c>
      <c r="I661" s="45">
        <v>14.49</v>
      </c>
    </row>
    <row r="662" spans="1:9" x14ac:dyDescent="0.2">
      <c r="A662">
        <v>27</v>
      </c>
      <c r="B662" s="7" t="s">
        <v>293</v>
      </c>
      <c r="C662" s="4" t="s">
        <v>43</v>
      </c>
      <c r="D662" s="7" t="s">
        <v>177</v>
      </c>
      <c r="F662" t="s">
        <v>191</v>
      </c>
      <c r="G662" t="s">
        <v>74</v>
      </c>
      <c r="H662" s="45">
        <v>-444.71</v>
      </c>
      <c r="I662" s="45">
        <v>-215.08</v>
      </c>
    </row>
    <row r="663" spans="1:9" x14ac:dyDescent="0.2">
      <c r="A663">
        <v>27</v>
      </c>
      <c r="B663" s="7" t="s">
        <v>293</v>
      </c>
      <c r="C663" s="4" t="s">
        <v>40</v>
      </c>
      <c r="D663" s="7" t="s">
        <v>177</v>
      </c>
      <c r="F663" t="s">
        <v>182</v>
      </c>
      <c r="G663" t="s">
        <v>68</v>
      </c>
      <c r="H663" s="45">
        <v>-179.62</v>
      </c>
      <c r="I663" s="45">
        <v>-199.11</v>
      </c>
    </row>
    <row r="664" spans="1:9" x14ac:dyDescent="0.2">
      <c r="A664">
        <v>27</v>
      </c>
      <c r="B664" s="7" t="s">
        <v>293</v>
      </c>
      <c r="C664" s="4" t="s">
        <v>75</v>
      </c>
      <c r="D664" s="7" t="s">
        <v>177</v>
      </c>
      <c r="F664" t="s">
        <v>194</v>
      </c>
      <c r="G664" t="s">
        <v>77</v>
      </c>
      <c r="H664" s="45">
        <v>-3.1686999999999999</v>
      </c>
      <c r="I664" s="45">
        <v>-3.1006</v>
      </c>
    </row>
    <row r="665" spans="1:9" x14ac:dyDescent="0.2">
      <c r="A665">
        <v>27</v>
      </c>
      <c r="B665" s="7" t="s">
        <v>293</v>
      </c>
      <c r="C665" s="4" t="s">
        <v>42</v>
      </c>
      <c r="D665" s="7" t="s">
        <v>177</v>
      </c>
      <c r="F665" t="s">
        <v>197</v>
      </c>
      <c r="G665" t="s">
        <v>72</v>
      </c>
      <c r="H665" s="45">
        <v>-75.568799999999996</v>
      </c>
      <c r="I665" s="45">
        <v>-30.989000000000001</v>
      </c>
    </row>
    <row r="666" spans="1:9" x14ac:dyDescent="0.2">
      <c r="A666">
        <v>28</v>
      </c>
      <c r="B666" s="7" t="s">
        <v>293</v>
      </c>
      <c r="C666" s="4" t="s">
        <v>107</v>
      </c>
      <c r="D666" s="7" t="s">
        <v>199</v>
      </c>
      <c r="F666" t="s">
        <v>200</v>
      </c>
      <c r="G666" t="s">
        <v>66</v>
      </c>
      <c r="H666" s="20">
        <v>1.1188</v>
      </c>
      <c r="I666" s="20">
        <v>1.0504</v>
      </c>
    </row>
    <row r="667" spans="1:9" x14ac:dyDescent="0.2">
      <c r="A667">
        <v>28</v>
      </c>
      <c r="B667" s="7" t="s">
        <v>293</v>
      </c>
      <c r="C667" s="4" t="s">
        <v>119</v>
      </c>
      <c r="D667" s="7" t="s">
        <v>199</v>
      </c>
      <c r="F667" t="s">
        <v>201</v>
      </c>
      <c r="G667" t="s">
        <v>79</v>
      </c>
      <c r="H667" s="20">
        <v>1.0267999999999999</v>
      </c>
      <c r="I667" s="20">
        <v>1.0181</v>
      </c>
    </row>
    <row r="668" spans="1:9" x14ac:dyDescent="0.2">
      <c r="A668">
        <v>28</v>
      </c>
      <c r="B668" s="7" t="s">
        <v>293</v>
      </c>
      <c r="C668" s="4" t="s">
        <v>117</v>
      </c>
      <c r="D668" s="7" t="s">
        <v>199</v>
      </c>
      <c r="F668" t="s">
        <v>202</v>
      </c>
      <c r="G668" t="s">
        <v>70</v>
      </c>
      <c r="H668" s="28">
        <v>1.1000000000000001</v>
      </c>
      <c r="I668" s="28">
        <v>1.05</v>
      </c>
    </row>
    <row r="669" spans="1:9" x14ac:dyDescent="0.2">
      <c r="A669">
        <v>28</v>
      </c>
      <c r="B669" s="7" t="s">
        <v>293</v>
      </c>
      <c r="C669" s="4" t="s">
        <v>43</v>
      </c>
      <c r="D669" s="7" t="s">
        <v>199</v>
      </c>
      <c r="F669" t="s">
        <v>203</v>
      </c>
      <c r="G669" t="s">
        <v>74</v>
      </c>
      <c r="H669" s="20">
        <v>1.33</v>
      </c>
      <c r="I669" s="20">
        <v>1.26</v>
      </c>
    </row>
    <row r="670" spans="1:9" x14ac:dyDescent="0.2">
      <c r="A670">
        <v>28</v>
      </c>
      <c r="B670" s="7" t="s">
        <v>293</v>
      </c>
      <c r="C670" s="4" t="s">
        <v>40</v>
      </c>
      <c r="D670" s="7" t="s">
        <v>199</v>
      </c>
      <c r="F670" t="s">
        <v>204</v>
      </c>
      <c r="G670" t="s">
        <v>68</v>
      </c>
      <c r="H670" s="20">
        <v>1.1100000000000001</v>
      </c>
      <c r="I670" s="20">
        <v>1.1299999999999999</v>
      </c>
    </row>
    <row r="671" spans="1:9" x14ac:dyDescent="0.2">
      <c r="A671">
        <v>28</v>
      </c>
      <c r="B671" s="7" t="s">
        <v>293</v>
      </c>
      <c r="C671" s="4" t="s">
        <v>75</v>
      </c>
      <c r="D671" s="7" t="s">
        <v>199</v>
      </c>
      <c r="F671" t="s">
        <v>205</v>
      </c>
      <c r="G671" t="s">
        <v>77</v>
      </c>
      <c r="H671" s="28">
        <v>1.28</v>
      </c>
      <c r="I671" s="28">
        <v>17.649999999999999</v>
      </c>
    </row>
    <row r="672" spans="1:9" x14ac:dyDescent="0.2">
      <c r="A672">
        <v>28</v>
      </c>
      <c r="B672" s="7" t="s">
        <v>293</v>
      </c>
      <c r="C672" s="4" t="s">
        <v>42</v>
      </c>
      <c r="D672" s="7" t="s">
        <v>199</v>
      </c>
      <c r="F672" t="s">
        <v>206</v>
      </c>
      <c r="G672" t="s">
        <v>72</v>
      </c>
      <c r="H672" s="20">
        <v>1.9000999999999999</v>
      </c>
      <c r="I672" s="20">
        <v>21.447399999999998</v>
      </c>
    </row>
    <row r="673" spans="1:9" x14ac:dyDescent="0.2">
      <c r="A673">
        <v>28</v>
      </c>
      <c r="B673" s="7" t="s">
        <v>293</v>
      </c>
      <c r="C673" s="4" t="s">
        <v>107</v>
      </c>
      <c r="D673" s="7" t="s">
        <v>208</v>
      </c>
      <c r="F673" t="s">
        <v>200</v>
      </c>
      <c r="G673" t="s">
        <v>66</v>
      </c>
      <c r="H673" s="31">
        <v>0.73570000000000002</v>
      </c>
      <c r="I673" s="31">
        <v>0.6341</v>
      </c>
    </row>
    <row r="674" spans="1:9" x14ac:dyDescent="0.2">
      <c r="A674">
        <v>28</v>
      </c>
      <c r="B674" s="7" t="s">
        <v>293</v>
      </c>
      <c r="C674" s="4" t="s">
        <v>119</v>
      </c>
      <c r="D674" s="7" t="s">
        <v>208</v>
      </c>
      <c r="F674" t="s">
        <v>201</v>
      </c>
      <c r="G674" t="s">
        <v>79</v>
      </c>
      <c r="H674" s="31">
        <v>0.69850000000000001</v>
      </c>
      <c r="I674" s="31">
        <v>0.70660000000000001</v>
      </c>
    </row>
    <row r="675" spans="1:9" x14ac:dyDescent="0.2">
      <c r="A675">
        <v>28</v>
      </c>
      <c r="B675" s="7" t="s">
        <v>293</v>
      </c>
      <c r="C675" s="4" t="s">
        <v>117</v>
      </c>
      <c r="D675" s="7" t="s">
        <v>208</v>
      </c>
      <c r="F675" t="s">
        <v>202</v>
      </c>
      <c r="G675" t="s">
        <v>70</v>
      </c>
      <c r="H675" s="28">
        <v>0.74</v>
      </c>
      <c r="I675" s="28">
        <v>0.67</v>
      </c>
    </row>
    <row r="676" spans="1:9" x14ac:dyDescent="0.2">
      <c r="A676">
        <v>28</v>
      </c>
      <c r="B676" s="7" t="s">
        <v>293</v>
      </c>
      <c r="C676" s="4" t="s">
        <v>43</v>
      </c>
      <c r="D676" s="7" t="s">
        <v>208</v>
      </c>
      <c r="F676" t="s">
        <v>203</v>
      </c>
      <c r="G676" t="s">
        <v>74</v>
      </c>
      <c r="H676" s="20">
        <v>0.96</v>
      </c>
      <c r="I676" s="20">
        <v>0.79</v>
      </c>
    </row>
    <row r="677" spans="1:9" x14ac:dyDescent="0.2">
      <c r="A677">
        <v>28</v>
      </c>
      <c r="B677" s="7" t="s">
        <v>293</v>
      </c>
      <c r="C677" s="4" t="s">
        <v>40</v>
      </c>
      <c r="D677" s="7" t="s">
        <v>208</v>
      </c>
      <c r="F677" t="s">
        <v>204</v>
      </c>
      <c r="G677" t="s">
        <v>68</v>
      </c>
      <c r="H677" s="20">
        <v>0.83</v>
      </c>
      <c r="I677" s="20">
        <v>0.77</v>
      </c>
    </row>
    <row r="678" spans="1:9" x14ac:dyDescent="0.2">
      <c r="A678">
        <v>28</v>
      </c>
      <c r="B678" s="7" t="s">
        <v>293</v>
      </c>
      <c r="C678" s="4" t="s">
        <v>75</v>
      </c>
      <c r="D678" s="7" t="s">
        <v>208</v>
      </c>
      <c r="F678" t="s">
        <v>205</v>
      </c>
      <c r="G678" t="s">
        <v>77</v>
      </c>
      <c r="H678" s="25">
        <v>0.82</v>
      </c>
      <c r="I678" s="25">
        <v>0.7</v>
      </c>
    </row>
    <row r="679" spans="1:9" x14ac:dyDescent="0.2">
      <c r="A679">
        <v>28</v>
      </c>
      <c r="B679" s="7" t="s">
        <v>293</v>
      </c>
      <c r="C679" s="4" t="s">
        <v>42</v>
      </c>
      <c r="D679" s="7" t="s">
        <v>208</v>
      </c>
      <c r="F679" t="s">
        <v>206</v>
      </c>
      <c r="G679" t="s">
        <v>72</v>
      </c>
      <c r="H679" s="31">
        <v>0.3286</v>
      </c>
      <c r="I679" s="31">
        <v>0.1051</v>
      </c>
    </row>
    <row r="680" spans="1:9" x14ac:dyDescent="0.2">
      <c r="A680">
        <v>29</v>
      </c>
      <c r="B680" s="7" t="s">
        <v>293</v>
      </c>
      <c r="C680" s="4" t="s">
        <v>107</v>
      </c>
      <c r="D680" s="7" t="s">
        <v>295</v>
      </c>
      <c r="F680" t="s">
        <v>200</v>
      </c>
      <c r="G680" t="s">
        <v>66</v>
      </c>
      <c r="H680" s="31">
        <v>0.36330000000000001</v>
      </c>
      <c r="I680" s="31">
        <v>0.40500000000000003</v>
      </c>
    </row>
    <row r="681" spans="1:9" x14ac:dyDescent="0.2">
      <c r="A681">
        <v>29</v>
      </c>
      <c r="B681" s="7" t="s">
        <v>293</v>
      </c>
      <c r="C681" s="4" t="s">
        <v>119</v>
      </c>
      <c r="D681" s="7" t="s">
        <v>295</v>
      </c>
      <c r="F681" t="s">
        <v>201</v>
      </c>
      <c r="G681" t="s">
        <v>79</v>
      </c>
      <c r="H681" s="31">
        <v>0.33169999999999999</v>
      </c>
      <c r="I681" s="31">
        <v>0.31669999999999998</v>
      </c>
    </row>
    <row r="682" spans="1:9" x14ac:dyDescent="0.2">
      <c r="A682">
        <v>29</v>
      </c>
      <c r="B682" s="7" t="s">
        <v>293</v>
      </c>
      <c r="C682" s="4" t="s">
        <v>117</v>
      </c>
      <c r="D682" s="7" t="s">
        <v>295</v>
      </c>
      <c r="F682" t="s">
        <v>202</v>
      </c>
      <c r="G682" t="s">
        <v>70</v>
      </c>
      <c r="H682" s="28">
        <v>0.35</v>
      </c>
      <c r="I682" s="28">
        <v>0.36</v>
      </c>
    </row>
    <row r="683" spans="1:9" x14ac:dyDescent="0.2">
      <c r="A683">
        <v>29</v>
      </c>
      <c r="B683" s="7" t="s">
        <v>293</v>
      </c>
      <c r="C683" s="4" t="s">
        <v>43</v>
      </c>
      <c r="D683" s="7" t="s">
        <v>295</v>
      </c>
      <c r="F683" t="s">
        <v>203</v>
      </c>
      <c r="G683" t="s">
        <v>74</v>
      </c>
      <c r="H683" s="20">
        <v>0.4</v>
      </c>
      <c r="I683" s="20">
        <v>0.46</v>
      </c>
    </row>
    <row r="684" spans="1:9" x14ac:dyDescent="0.2">
      <c r="A684">
        <v>29</v>
      </c>
      <c r="B684" s="7" t="s">
        <v>293</v>
      </c>
      <c r="C684" s="4" t="s">
        <v>40</v>
      </c>
      <c r="D684" s="7" t="s">
        <v>295</v>
      </c>
      <c r="F684" t="s">
        <v>204</v>
      </c>
      <c r="G684" t="s">
        <v>68</v>
      </c>
      <c r="H684" s="20">
        <v>0.38</v>
      </c>
      <c r="I684" s="20">
        <v>0.42</v>
      </c>
    </row>
    <row r="685" spans="1:9" x14ac:dyDescent="0.2">
      <c r="A685">
        <v>29</v>
      </c>
      <c r="B685" s="7" t="s">
        <v>293</v>
      </c>
      <c r="C685" s="4" t="s">
        <v>75</v>
      </c>
      <c r="D685" s="7" t="s">
        <v>295</v>
      </c>
      <c r="F685" t="s">
        <v>205</v>
      </c>
      <c r="G685" t="s">
        <v>77</v>
      </c>
      <c r="H685" s="28">
        <v>0.93</v>
      </c>
      <c r="I685" s="28">
        <v>17.309999999999999</v>
      </c>
    </row>
    <row r="686" spans="1:9" x14ac:dyDescent="0.2">
      <c r="A686">
        <v>29</v>
      </c>
      <c r="B686" s="7" t="s">
        <v>293</v>
      </c>
      <c r="C686" s="4" t="s">
        <v>42</v>
      </c>
      <c r="D686" s="7" t="s">
        <v>295</v>
      </c>
      <c r="F686" t="s">
        <v>206</v>
      </c>
      <c r="G686" t="s">
        <v>72</v>
      </c>
      <c r="H686" s="31">
        <v>1.5024</v>
      </c>
      <c r="I686" s="31">
        <v>19.7788</v>
      </c>
    </row>
    <row r="687" spans="1:9" x14ac:dyDescent="0.2">
      <c r="A687">
        <v>29</v>
      </c>
      <c r="B687" s="7" t="s">
        <v>293</v>
      </c>
      <c r="C687" s="4" t="s">
        <v>107</v>
      </c>
      <c r="D687" s="7" t="s">
        <v>207</v>
      </c>
      <c r="F687" t="s">
        <v>200</v>
      </c>
      <c r="G687" t="s">
        <v>66</v>
      </c>
      <c r="H687" s="38">
        <f t="shared" ref="H687:I693" si="13">H666-H673</f>
        <v>0.3831</v>
      </c>
      <c r="I687" s="38">
        <f t="shared" si="13"/>
        <v>0.4163</v>
      </c>
    </row>
    <row r="688" spans="1:9" x14ac:dyDescent="0.2">
      <c r="A688">
        <v>29</v>
      </c>
      <c r="B688" s="7" t="s">
        <v>293</v>
      </c>
      <c r="C688" s="4" t="s">
        <v>119</v>
      </c>
      <c r="D688" s="7" t="s">
        <v>207</v>
      </c>
      <c r="F688" t="s">
        <v>201</v>
      </c>
      <c r="G688" t="s">
        <v>79</v>
      </c>
      <c r="H688" s="38">
        <f t="shared" si="13"/>
        <v>0.32829999999999993</v>
      </c>
      <c r="I688" s="38">
        <f t="shared" si="13"/>
        <v>0.3115</v>
      </c>
    </row>
    <row r="689" spans="1:9" x14ac:dyDescent="0.2">
      <c r="A689">
        <v>29</v>
      </c>
      <c r="B689" s="7" t="s">
        <v>293</v>
      </c>
      <c r="C689" s="4" t="s">
        <v>117</v>
      </c>
      <c r="D689" s="7" t="s">
        <v>207</v>
      </c>
      <c r="F689" t="s">
        <v>202</v>
      </c>
      <c r="G689" t="s">
        <v>70</v>
      </c>
      <c r="H689" s="38">
        <f t="shared" si="13"/>
        <v>0.3600000000000001</v>
      </c>
      <c r="I689" s="38">
        <f t="shared" si="13"/>
        <v>0.38</v>
      </c>
    </row>
    <row r="690" spans="1:9" x14ac:dyDescent="0.2">
      <c r="A690">
        <v>29</v>
      </c>
      <c r="B690" s="7" t="s">
        <v>293</v>
      </c>
      <c r="C690" s="4" t="s">
        <v>43</v>
      </c>
      <c r="D690" s="7" t="s">
        <v>207</v>
      </c>
      <c r="F690" t="s">
        <v>203</v>
      </c>
      <c r="G690" t="s">
        <v>74</v>
      </c>
      <c r="H690" s="38">
        <f t="shared" si="13"/>
        <v>0.37000000000000011</v>
      </c>
      <c r="I690" s="38">
        <f t="shared" si="13"/>
        <v>0.47</v>
      </c>
    </row>
    <row r="691" spans="1:9" x14ac:dyDescent="0.2">
      <c r="A691">
        <v>29</v>
      </c>
      <c r="B691" s="7" t="s">
        <v>293</v>
      </c>
      <c r="C691" s="4" t="s">
        <v>40</v>
      </c>
      <c r="D691" s="7" t="s">
        <v>207</v>
      </c>
      <c r="F691" t="s">
        <v>204</v>
      </c>
      <c r="G691" t="s">
        <v>68</v>
      </c>
      <c r="H691" s="38">
        <f t="shared" si="13"/>
        <v>0.28000000000000014</v>
      </c>
      <c r="I691" s="38">
        <f t="shared" si="13"/>
        <v>0.35999999999999988</v>
      </c>
    </row>
    <row r="692" spans="1:9" x14ac:dyDescent="0.2">
      <c r="A692">
        <v>29</v>
      </c>
      <c r="B692" s="7" t="s">
        <v>293</v>
      </c>
      <c r="C692" s="4" t="s">
        <v>75</v>
      </c>
      <c r="D692" s="7" t="s">
        <v>207</v>
      </c>
      <c r="F692" t="s">
        <v>205</v>
      </c>
      <c r="G692" t="s">
        <v>77</v>
      </c>
      <c r="H692" s="38">
        <f t="shared" si="13"/>
        <v>0.46000000000000008</v>
      </c>
      <c r="I692" s="38">
        <f t="shared" si="13"/>
        <v>16.95</v>
      </c>
    </row>
    <row r="693" spans="1:9" x14ac:dyDescent="0.2">
      <c r="A693">
        <v>29</v>
      </c>
      <c r="B693" s="7" t="s">
        <v>293</v>
      </c>
      <c r="C693" s="4" t="s">
        <v>42</v>
      </c>
      <c r="D693" s="7" t="s">
        <v>207</v>
      </c>
      <c r="F693" t="s">
        <v>206</v>
      </c>
      <c r="G693" t="s">
        <v>72</v>
      </c>
      <c r="H693" s="38">
        <f t="shared" si="13"/>
        <v>1.5714999999999999</v>
      </c>
      <c r="I693" s="38">
        <f t="shared" si="13"/>
        <v>21.342299999999998</v>
      </c>
    </row>
    <row r="694" spans="1:9" x14ac:dyDescent="0.2">
      <c r="A694">
        <v>30</v>
      </c>
      <c r="B694" s="7" t="s">
        <v>293</v>
      </c>
      <c r="C694" s="4" t="s">
        <v>107</v>
      </c>
      <c r="D694" s="7" t="s">
        <v>296</v>
      </c>
      <c r="E694" s="7" t="s">
        <v>297</v>
      </c>
      <c r="F694" t="s">
        <v>298</v>
      </c>
      <c r="G694" t="s">
        <v>66</v>
      </c>
      <c r="H694" s="38">
        <v>0.21029397590361451</v>
      </c>
      <c r="I694" s="38">
        <v>0.21025155970432871</v>
      </c>
    </row>
    <row r="695" spans="1:9" x14ac:dyDescent="0.2">
      <c r="A695">
        <v>30</v>
      </c>
      <c r="B695" s="7" t="s">
        <v>293</v>
      </c>
      <c r="C695" s="4" t="s">
        <v>119</v>
      </c>
      <c r="D695" s="7" t="s">
        <v>296</v>
      </c>
      <c r="E695" s="7" t="s">
        <v>297</v>
      </c>
      <c r="F695" t="s">
        <v>299</v>
      </c>
      <c r="G695" t="s">
        <v>79</v>
      </c>
      <c r="H695" s="38">
        <v>4.7393578679259168E-2</v>
      </c>
      <c r="I695" s="38">
        <v>8.0547231652149026E-2</v>
      </c>
    </row>
    <row r="696" spans="1:9" x14ac:dyDescent="0.2">
      <c r="A696">
        <v>30</v>
      </c>
      <c r="B696" s="7" t="s">
        <v>293</v>
      </c>
      <c r="C696" s="4" t="s">
        <v>117</v>
      </c>
      <c r="D696" s="7" t="s">
        <v>296</v>
      </c>
      <c r="E696" s="7" t="s">
        <v>297</v>
      </c>
      <c r="F696" t="s">
        <v>300</v>
      </c>
      <c r="G696" t="s">
        <v>70</v>
      </c>
      <c r="H696" s="28">
        <v>0.2279697162644245</v>
      </c>
      <c r="I696" s="28">
        <v>0.1510987686142129</v>
      </c>
    </row>
    <row r="697" spans="1:9" x14ac:dyDescent="0.2">
      <c r="A697">
        <v>30</v>
      </c>
      <c r="B697" s="7" t="s">
        <v>293</v>
      </c>
      <c r="C697" s="4" t="s">
        <v>43</v>
      </c>
      <c r="D697" s="7" t="s">
        <v>296</v>
      </c>
      <c r="E697" s="7" t="s">
        <v>297</v>
      </c>
      <c r="F697" t="s">
        <v>301</v>
      </c>
      <c r="G697" t="s">
        <v>74</v>
      </c>
      <c r="H697" s="28">
        <v>4.0073248696147333E-2</v>
      </c>
      <c r="I697" s="28">
        <v>4.1862310693737192E-2</v>
      </c>
    </row>
    <row r="698" spans="1:9" x14ac:dyDescent="0.2">
      <c r="A698">
        <v>30</v>
      </c>
      <c r="B698" s="7" t="s">
        <v>293</v>
      </c>
      <c r="C698" s="4" t="s">
        <v>40</v>
      </c>
      <c r="D698" s="7" t="s">
        <v>296</v>
      </c>
      <c r="E698" s="7" t="s">
        <v>297</v>
      </c>
      <c r="F698" t="s">
        <v>302</v>
      </c>
      <c r="G698" t="s">
        <v>68</v>
      </c>
      <c r="H698" s="28">
        <v>0.28913554707039341</v>
      </c>
      <c r="I698" s="27">
        <v>0.26500588770789513</v>
      </c>
    </row>
    <row r="699" spans="1:9" x14ac:dyDescent="0.2">
      <c r="A699">
        <v>30</v>
      </c>
      <c r="B699" s="7" t="s">
        <v>293</v>
      </c>
      <c r="C699" s="4" t="s">
        <v>75</v>
      </c>
      <c r="D699" s="7" t="s">
        <v>296</v>
      </c>
      <c r="E699" s="7" t="s">
        <v>297</v>
      </c>
      <c r="F699" t="s">
        <v>303</v>
      </c>
      <c r="G699" t="s">
        <v>77</v>
      </c>
      <c r="H699" s="28">
        <v>4.0000334032016957E-2</v>
      </c>
      <c r="I699" s="28">
        <v>3.9993847100446081E-2</v>
      </c>
    </row>
    <row r="700" spans="1:9" x14ac:dyDescent="0.2">
      <c r="A700">
        <v>30</v>
      </c>
      <c r="B700" s="7" t="s">
        <v>293</v>
      </c>
      <c r="C700" s="4" t="s">
        <v>42</v>
      </c>
      <c r="D700" s="7" t="s">
        <v>296</v>
      </c>
      <c r="E700" s="7" t="s">
        <v>297</v>
      </c>
      <c r="F700" t="s">
        <v>304</v>
      </c>
      <c r="G700" t="s">
        <v>72</v>
      </c>
      <c r="H700" s="28">
        <v>4.8542845058954197E-2</v>
      </c>
      <c r="I700" s="28">
        <v>3.9991589571068117E-2</v>
      </c>
    </row>
    <row r="701" spans="1:9" x14ac:dyDescent="0.2">
      <c r="A701">
        <v>30</v>
      </c>
      <c r="B701" s="7" t="s">
        <v>293</v>
      </c>
      <c r="C701" s="4" t="s">
        <v>107</v>
      </c>
      <c r="D701" s="7" t="s">
        <v>305</v>
      </c>
      <c r="E701" s="7" t="s">
        <v>297</v>
      </c>
      <c r="F701" t="s">
        <v>306</v>
      </c>
      <c r="G701" t="s">
        <v>66</v>
      </c>
      <c r="H701" s="28">
        <v>0.34491120759339661</v>
      </c>
      <c r="I701" s="28">
        <v>0.36307414215064032</v>
      </c>
    </row>
    <row r="702" spans="1:9" x14ac:dyDescent="0.2">
      <c r="A702">
        <v>30</v>
      </c>
      <c r="B702" s="7" t="s">
        <v>293</v>
      </c>
      <c r="C702" s="4" t="s">
        <v>119</v>
      </c>
      <c r="D702" s="7" t="s">
        <v>305</v>
      </c>
      <c r="E702" s="7" t="s">
        <v>297</v>
      </c>
      <c r="F702" t="s">
        <v>307</v>
      </c>
      <c r="G702" t="s">
        <v>79</v>
      </c>
      <c r="H702" s="28">
        <v>0.39347546621700591</v>
      </c>
      <c r="I702" s="28">
        <v>0.3637919965760753</v>
      </c>
    </row>
    <row r="703" spans="1:9" x14ac:dyDescent="0.2">
      <c r="A703">
        <v>30</v>
      </c>
      <c r="B703" s="7" t="s">
        <v>293</v>
      </c>
      <c r="C703" s="4" t="s">
        <v>117</v>
      </c>
      <c r="D703" s="7" t="s">
        <v>305</v>
      </c>
      <c r="E703" s="7" t="s">
        <v>297</v>
      </c>
      <c r="F703" t="s">
        <v>308</v>
      </c>
      <c r="G703" t="s">
        <v>70</v>
      </c>
      <c r="H703" s="28">
        <v>0.33457042832820011</v>
      </c>
      <c r="I703" s="28">
        <v>0.28960864588836061</v>
      </c>
    </row>
    <row r="704" spans="1:9" x14ac:dyDescent="0.2">
      <c r="A704">
        <v>30</v>
      </c>
      <c r="B704" s="7" t="s">
        <v>293</v>
      </c>
      <c r="C704" s="4" t="s">
        <v>43</v>
      </c>
      <c r="D704" s="7" t="s">
        <v>305</v>
      </c>
      <c r="E704" s="7" t="s">
        <v>297</v>
      </c>
      <c r="F704" t="s">
        <v>309</v>
      </c>
      <c r="G704" t="s">
        <v>74</v>
      </c>
      <c r="H704" s="28">
        <v>0.18407879864362989</v>
      </c>
      <c r="I704" s="28">
        <v>0.18206951026856241</v>
      </c>
    </row>
    <row r="705" spans="1:9" x14ac:dyDescent="0.2">
      <c r="A705">
        <v>30</v>
      </c>
      <c r="B705" s="7" t="s">
        <v>293</v>
      </c>
      <c r="C705" s="4" t="s">
        <v>40</v>
      </c>
      <c r="D705" s="7" t="s">
        <v>305</v>
      </c>
      <c r="E705" s="7" t="s">
        <v>297</v>
      </c>
      <c r="F705" t="s">
        <v>310</v>
      </c>
      <c r="G705" t="s">
        <v>68</v>
      </c>
      <c r="H705" s="28">
        <v>0.589698226936475</v>
      </c>
      <c r="I705" s="28">
        <v>0.55563111121532582</v>
      </c>
    </row>
    <row r="706" spans="1:9" x14ac:dyDescent="0.2">
      <c r="A706">
        <v>30</v>
      </c>
      <c r="B706" s="7" t="s">
        <v>293</v>
      </c>
      <c r="C706" s="4" t="s">
        <v>75</v>
      </c>
      <c r="D706" s="7" t="s">
        <v>305</v>
      </c>
      <c r="E706" s="7" t="s">
        <v>297</v>
      </c>
      <c r="F706" t="s">
        <v>311</v>
      </c>
      <c r="G706" t="s">
        <v>77</v>
      </c>
      <c r="H706" s="28">
        <v>-6.9624217118997911E-2</v>
      </c>
      <c r="I706" s="28">
        <v>-0.15</v>
      </c>
    </row>
    <row r="707" spans="1:9" x14ac:dyDescent="0.2">
      <c r="A707">
        <v>30</v>
      </c>
      <c r="B707" s="7" t="s">
        <v>293</v>
      </c>
      <c r="C707" s="4" t="s">
        <v>42</v>
      </c>
      <c r="D707" s="7" t="s">
        <v>305</v>
      </c>
      <c r="E707" s="7" t="s">
        <v>297</v>
      </c>
      <c r="F707" t="s">
        <v>312</v>
      </c>
      <c r="G707" t="s">
        <v>72</v>
      </c>
      <c r="H707" s="28">
        <v>0.14754498819314391</v>
      </c>
      <c r="I707" s="28">
        <v>7.4658254468980015E-2</v>
      </c>
    </row>
    <row r="708" spans="1:9" x14ac:dyDescent="0.2">
      <c r="A708">
        <v>31</v>
      </c>
      <c r="B708" s="7" t="s">
        <v>293</v>
      </c>
      <c r="C708" s="4" t="s">
        <v>107</v>
      </c>
      <c r="D708" s="7" t="s">
        <v>313</v>
      </c>
      <c r="E708" s="7" t="s">
        <v>314</v>
      </c>
      <c r="F708" t="s">
        <v>315</v>
      </c>
      <c r="G708" t="s">
        <v>66</v>
      </c>
      <c r="H708" s="27">
        <v>-7.4681727278428534E-2</v>
      </c>
      <c r="I708" s="27">
        <v>3.1259059455235258E-3</v>
      </c>
    </row>
    <row r="709" spans="1:9" x14ac:dyDescent="0.2">
      <c r="A709">
        <v>31</v>
      </c>
      <c r="B709" s="7" t="s">
        <v>293</v>
      </c>
      <c r="C709" s="4" t="s">
        <v>119</v>
      </c>
      <c r="D709" s="7" t="s">
        <v>313</v>
      </c>
      <c r="E709" s="7" t="s">
        <v>314</v>
      </c>
      <c r="F709" t="s">
        <v>316</v>
      </c>
      <c r="G709" t="s">
        <v>79</v>
      </c>
      <c r="H709" s="27">
        <v>6.1470788444071098E-2</v>
      </c>
      <c r="I709" s="27">
        <v>9.7654314168916914E-2</v>
      </c>
    </row>
    <row r="710" spans="1:9" x14ac:dyDescent="0.2">
      <c r="A710">
        <v>31</v>
      </c>
      <c r="B710" s="7" t="s">
        <v>293</v>
      </c>
      <c r="C710" s="4" t="s">
        <v>117</v>
      </c>
      <c r="D710" s="7" t="s">
        <v>313</v>
      </c>
      <c r="E710" s="7" t="s">
        <v>314</v>
      </c>
      <c r="F710" t="s">
        <v>317</v>
      </c>
      <c r="G710" t="s">
        <v>70</v>
      </c>
      <c r="H710" s="27">
        <v>-2.7920292406485251E-2</v>
      </c>
      <c r="I710" s="27">
        <v>5.1548599905756019E-3</v>
      </c>
    </row>
    <row r="711" spans="1:9" x14ac:dyDescent="0.2">
      <c r="A711">
        <v>31</v>
      </c>
      <c r="B711" s="7" t="s">
        <v>293</v>
      </c>
      <c r="C711" s="4" t="s">
        <v>43</v>
      </c>
      <c r="D711" s="7" t="s">
        <v>313</v>
      </c>
      <c r="E711" s="7" t="s">
        <v>314</v>
      </c>
      <c r="F711" t="s">
        <v>318</v>
      </c>
      <c r="G711" t="s">
        <v>74</v>
      </c>
      <c r="H711" s="27">
        <v>-0.77663680340895203</v>
      </c>
      <c r="I711" s="27">
        <v>-0.4931557104533052</v>
      </c>
    </row>
    <row r="712" spans="1:9" x14ac:dyDescent="0.2">
      <c r="A712">
        <v>31</v>
      </c>
      <c r="B712" s="7" t="s">
        <v>293</v>
      </c>
      <c r="C712" s="4" t="s">
        <v>40</v>
      </c>
      <c r="D712" s="7" t="s">
        <v>313</v>
      </c>
      <c r="E712" s="7" t="s">
        <v>314</v>
      </c>
      <c r="F712" t="s">
        <v>319</v>
      </c>
      <c r="G712" t="s">
        <v>68</v>
      </c>
      <c r="H712" s="27">
        <v>-0.12720377603014019</v>
      </c>
      <c r="I712" s="27">
        <v>-0.17617157949221601</v>
      </c>
    </row>
    <row r="713" spans="1:9" x14ac:dyDescent="0.2">
      <c r="A713">
        <v>31</v>
      </c>
      <c r="B713" s="7" t="s">
        <v>293</v>
      </c>
      <c r="C713" s="4" t="s">
        <v>75</v>
      </c>
      <c r="D713" s="7" t="s">
        <v>313</v>
      </c>
      <c r="E713" s="7" t="s">
        <v>314</v>
      </c>
      <c r="F713" t="s">
        <v>320</v>
      </c>
      <c r="G713" t="s">
        <v>77</v>
      </c>
      <c r="H713" s="27">
        <v>-3.619435547615675E-2</v>
      </c>
      <c r="I713" s="27">
        <v>-6.9076137020572234E-2</v>
      </c>
    </row>
    <row r="714" spans="1:9" x14ac:dyDescent="0.2">
      <c r="A714">
        <v>31</v>
      </c>
      <c r="B714" s="7" t="s">
        <v>293</v>
      </c>
      <c r="C714" s="4" t="s">
        <v>42</v>
      </c>
      <c r="D714" s="7" t="s">
        <v>313</v>
      </c>
      <c r="E714" s="7" t="s">
        <v>314</v>
      </c>
      <c r="F714" t="s">
        <v>321</v>
      </c>
      <c r="G714" t="s">
        <v>72</v>
      </c>
      <c r="H714" s="27">
        <v>-0.3506140831530436</v>
      </c>
      <c r="I714" s="27">
        <v>-0.22899254438582539</v>
      </c>
    </row>
    <row r="715" spans="1:9" x14ac:dyDescent="0.2">
      <c r="A715">
        <v>31</v>
      </c>
      <c r="B715" s="7" t="s">
        <v>293</v>
      </c>
      <c r="C715" s="4" t="s">
        <v>107</v>
      </c>
      <c r="D715" s="7" t="s">
        <v>322</v>
      </c>
      <c r="F715" t="s">
        <v>200</v>
      </c>
      <c r="G715" t="s">
        <v>66</v>
      </c>
      <c r="H715" s="25">
        <v>2.4900000000000002</v>
      </c>
      <c r="I715" s="25">
        <v>3.03</v>
      </c>
    </row>
    <row r="716" spans="1:9" x14ac:dyDescent="0.2">
      <c r="A716">
        <v>31</v>
      </c>
      <c r="B716" s="7" t="s">
        <v>293</v>
      </c>
      <c r="C716" s="4" t="s">
        <v>119</v>
      </c>
      <c r="D716" s="7" t="s">
        <v>322</v>
      </c>
      <c r="F716" t="s">
        <v>323</v>
      </c>
      <c r="G716" t="s">
        <v>79</v>
      </c>
      <c r="H716">
        <v>2.14</v>
      </c>
      <c r="I716">
        <v>2.2200000000000002</v>
      </c>
    </row>
    <row r="717" spans="1:9" x14ac:dyDescent="0.2">
      <c r="A717">
        <v>31</v>
      </c>
      <c r="B717" s="7" t="s">
        <v>293</v>
      </c>
      <c r="C717" s="4" t="s">
        <v>117</v>
      </c>
      <c r="D717" s="7" t="s">
        <v>322</v>
      </c>
      <c r="F717" t="s">
        <v>324</v>
      </c>
      <c r="G717" t="s">
        <v>70</v>
      </c>
      <c r="H717">
        <v>1.7</v>
      </c>
      <c r="I717">
        <v>1.56</v>
      </c>
    </row>
    <row r="718" spans="1:9" x14ac:dyDescent="0.2">
      <c r="A718">
        <v>31</v>
      </c>
      <c r="B718" s="7" t="s">
        <v>293</v>
      </c>
      <c r="C718" s="4" t="s">
        <v>43</v>
      </c>
      <c r="D718" s="7" t="s">
        <v>322</v>
      </c>
      <c r="F718" t="s">
        <v>325</v>
      </c>
      <c r="G718" t="s">
        <v>74</v>
      </c>
      <c r="H718" s="39">
        <v>1.56</v>
      </c>
      <c r="I718" s="39">
        <v>1.57</v>
      </c>
    </row>
    <row r="719" spans="1:9" x14ac:dyDescent="0.2">
      <c r="A719">
        <v>31</v>
      </c>
      <c r="B719" s="7" t="s">
        <v>293</v>
      </c>
      <c r="C719" s="4" t="s">
        <v>40</v>
      </c>
      <c r="D719" s="7" t="s">
        <v>322</v>
      </c>
      <c r="F719" t="s">
        <v>204</v>
      </c>
      <c r="G719" t="s">
        <v>68</v>
      </c>
      <c r="H719">
        <v>1.53</v>
      </c>
      <c r="I719">
        <v>1.64</v>
      </c>
    </row>
    <row r="720" spans="1:9" x14ac:dyDescent="0.2">
      <c r="A720">
        <v>31</v>
      </c>
      <c r="B720" s="7" t="s">
        <v>293</v>
      </c>
      <c r="C720" s="4" t="s">
        <v>75</v>
      </c>
      <c r="D720" s="7" t="s">
        <v>322</v>
      </c>
      <c r="F720" t="s">
        <v>326</v>
      </c>
      <c r="G720" t="s">
        <v>77</v>
      </c>
      <c r="H720" s="25">
        <v>1.55</v>
      </c>
      <c r="I720" s="25">
        <v>1.77</v>
      </c>
    </row>
    <row r="721" spans="1:16" x14ac:dyDescent="0.2">
      <c r="A721">
        <v>31</v>
      </c>
      <c r="B721" s="7" t="s">
        <v>293</v>
      </c>
      <c r="C721" s="4" t="s">
        <v>42</v>
      </c>
      <c r="D721" s="7" t="s">
        <v>322</v>
      </c>
      <c r="F721" t="s">
        <v>327</v>
      </c>
      <c r="G721" t="s">
        <v>72</v>
      </c>
      <c r="H721" s="25">
        <v>3.18</v>
      </c>
      <c r="I721" s="25">
        <v>5.21</v>
      </c>
    </row>
    <row r="722" spans="1:16" x14ac:dyDescent="0.2">
      <c r="A722">
        <v>32</v>
      </c>
      <c r="B722" s="7" t="s">
        <v>328</v>
      </c>
      <c r="C722" s="4" t="s">
        <v>107</v>
      </c>
      <c r="D722" s="7" t="s">
        <v>329</v>
      </c>
      <c r="F722" t="s">
        <v>330</v>
      </c>
      <c r="G722" t="s">
        <v>66</v>
      </c>
      <c r="H722" s="24">
        <v>8927.39</v>
      </c>
      <c r="I722" s="24">
        <v>7310.73</v>
      </c>
      <c r="K722" s="14"/>
      <c r="L722" s="14"/>
      <c r="M722" s="14"/>
      <c r="N722" s="14"/>
      <c r="P722" s="39"/>
    </row>
    <row r="723" spans="1:16" x14ac:dyDescent="0.2">
      <c r="A723">
        <v>32</v>
      </c>
      <c r="B723" s="7" t="s">
        <v>328</v>
      </c>
      <c r="C723" s="4" t="s">
        <v>119</v>
      </c>
      <c r="D723" s="7" t="s">
        <v>329</v>
      </c>
      <c r="F723" t="s">
        <v>331</v>
      </c>
      <c r="G723" t="s">
        <v>79</v>
      </c>
      <c r="H723" s="24">
        <v>19200.060000000001</v>
      </c>
      <c r="I723" s="24">
        <v>16666.36</v>
      </c>
      <c r="K723" s="14"/>
      <c r="L723" s="14"/>
      <c r="M723" s="14"/>
      <c r="N723" s="14"/>
    </row>
    <row r="724" spans="1:16" x14ac:dyDescent="0.2">
      <c r="A724">
        <v>32</v>
      </c>
      <c r="B724" s="7" t="s">
        <v>328</v>
      </c>
      <c r="C724" s="4" t="s">
        <v>117</v>
      </c>
      <c r="D724" s="7" t="s">
        <v>329</v>
      </c>
      <c r="F724" t="s">
        <v>332</v>
      </c>
      <c r="G724" t="s">
        <v>70</v>
      </c>
      <c r="H724" s="24">
        <v>10246.11</v>
      </c>
      <c r="I724" s="24">
        <v>7732.79</v>
      </c>
      <c r="K724" s="14"/>
      <c r="L724" s="14"/>
      <c r="M724" s="14"/>
      <c r="N724" s="14"/>
    </row>
    <row r="725" spans="1:16" x14ac:dyDescent="0.2">
      <c r="A725">
        <v>32</v>
      </c>
      <c r="B725" s="7" t="s">
        <v>328</v>
      </c>
      <c r="C725" s="4" t="s">
        <v>43</v>
      </c>
      <c r="D725" s="7" t="s">
        <v>329</v>
      </c>
      <c r="F725" t="s">
        <v>266</v>
      </c>
      <c r="G725" t="s">
        <v>74</v>
      </c>
      <c r="H725" s="24">
        <v>2865.79</v>
      </c>
      <c r="I725" s="24">
        <v>1861.44</v>
      </c>
      <c r="K725" s="14"/>
      <c r="L725" s="14"/>
      <c r="M725" s="14"/>
      <c r="N725" s="14"/>
    </row>
    <row r="726" spans="1:16" x14ac:dyDescent="0.2">
      <c r="A726">
        <v>32</v>
      </c>
      <c r="B726" s="7" t="s">
        <v>328</v>
      </c>
      <c r="C726" s="4" t="s">
        <v>40</v>
      </c>
      <c r="D726" s="7" t="s">
        <v>329</v>
      </c>
      <c r="F726" t="s">
        <v>333</v>
      </c>
      <c r="G726" t="s">
        <v>68</v>
      </c>
      <c r="H726" s="24">
        <v>5253.4</v>
      </c>
      <c r="I726" s="24">
        <v>3889.74</v>
      </c>
      <c r="K726" s="14"/>
      <c r="L726" s="14"/>
      <c r="M726" s="14"/>
      <c r="N726" s="14"/>
    </row>
    <row r="727" spans="1:16" x14ac:dyDescent="0.2">
      <c r="A727">
        <v>32</v>
      </c>
      <c r="B727" s="7" t="s">
        <v>328</v>
      </c>
      <c r="C727" s="4" t="s">
        <v>75</v>
      </c>
      <c r="D727" s="7" t="s">
        <v>329</v>
      </c>
      <c r="F727" t="s">
        <v>334</v>
      </c>
      <c r="G727" t="s">
        <v>77</v>
      </c>
      <c r="H727" s="24">
        <v>104.0652</v>
      </c>
      <c r="I727" s="24">
        <v>85.99860000000001</v>
      </c>
      <c r="K727" s="14"/>
      <c r="L727" s="14"/>
      <c r="M727" s="14"/>
      <c r="N727" s="14"/>
    </row>
    <row r="728" spans="1:16" x14ac:dyDescent="0.2">
      <c r="A728">
        <v>32</v>
      </c>
      <c r="B728" s="7" t="s">
        <v>328</v>
      </c>
      <c r="C728" s="4" t="s">
        <v>42</v>
      </c>
      <c r="D728" s="7" t="s">
        <v>329</v>
      </c>
      <c r="F728" t="s">
        <v>335</v>
      </c>
      <c r="G728" t="s">
        <v>72</v>
      </c>
      <c r="H728" s="24">
        <v>200.32990000000001</v>
      </c>
      <c r="I728" s="24">
        <v>247.0155</v>
      </c>
      <c r="K728" s="14"/>
      <c r="L728" s="14"/>
      <c r="M728" s="14"/>
      <c r="N728" s="14"/>
    </row>
    <row r="729" spans="1:16" x14ac:dyDescent="0.2">
      <c r="A729">
        <v>32</v>
      </c>
      <c r="B729" s="7" t="s">
        <v>328</v>
      </c>
      <c r="C729" s="4" t="s">
        <v>107</v>
      </c>
      <c r="D729" s="7" t="s">
        <v>336</v>
      </c>
      <c r="F729" t="s">
        <v>337</v>
      </c>
      <c r="G729" t="s">
        <v>66</v>
      </c>
      <c r="H729" s="31">
        <v>5.45E-2</v>
      </c>
      <c r="I729" s="31">
        <v>5.5500000000000001E-2</v>
      </c>
    </row>
    <row r="730" spans="1:16" x14ac:dyDescent="0.2">
      <c r="A730">
        <v>32</v>
      </c>
      <c r="B730" s="7" t="s">
        <v>328</v>
      </c>
      <c r="C730" s="4" t="s">
        <v>119</v>
      </c>
      <c r="D730" s="7" t="s">
        <v>336</v>
      </c>
      <c r="F730" t="s">
        <v>338</v>
      </c>
      <c r="G730" t="s">
        <v>79</v>
      </c>
      <c r="H730" s="27">
        <v>4.9457137256610183E-2</v>
      </c>
      <c r="I730" s="27">
        <v>6.1946226703330283E-2</v>
      </c>
    </row>
    <row r="731" spans="1:16" x14ac:dyDescent="0.2">
      <c r="A731">
        <v>32</v>
      </c>
      <c r="B731" s="7" t="s">
        <v>328</v>
      </c>
      <c r="C731" s="4" t="s">
        <v>117</v>
      </c>
      <c r="D731" s="7" t="s">
        <v>336</v>
      </c>
      <c r="F731" t="s">
        <v>339</v>
      </c>
      <c r="G731" t="s">
        <v>70</v>
      </c>
      <c r="H731" s="27">
        <v>5.5E-2</v>
      </c>
      <c r="I731" s="27">
        <v>5.5E-2</v>
      </c>
    </row>
    <row r="732" spans="1:16" x14ac:dyDescent="0.2">
      <c r="A732">
        <v>32</v>
      </c>
      <c r="B732" s="7" t="s">
        <v>328</v>
      </c>
      <c r="C732" s="4" t="s">
        <v>43</v>
      </c>
      <c r="D732" s="7" t="s">
        <v>336</v>
      </c>
      <c r="F732" t="s">
        <v>340</v>
      </c>
      <c r="G732" t="s">
        <v>74</v>
      </c>
      <c r="H732" s="31">
        <v>5.79E-2</v>
      </c>
      <c r="I732" s="31">
        <v>5.5899999999999998E-2</v>
      </c>
    </row>
    <row r="733" spans="1:16" x14ac:dyDescent="0.2">
      <c r="A733">
        <v>32</v>
      </c>
      <c r="B733" s="7" t="s">
        <v>328</v>
      </c>
      <c r="C733" s="4" t="s">
        <v>40</v>
      </c>
      <c r="D733" s="7" t="s">
        <v>336</v>
      </c>
      <c r="F733" t="s">
        <v>341</v>
      </c>
      <c r="G733" t="s">
        <v>68</v>
      </c>
      <c r="H733" s="31">
        <v>5.5100000000000003E-2</v>
      </c>
      <c r="I733" s="31">
        <v>5.6899999999999999E-2</v>
      </c>
    </row>
    <row r="734" spans="1:16" x14ac:dyDescent="0.2">
      <c r="A734">
        <v>32</v>
      </c>
      <c r="B734" s="7" t="s">
        <v>328</v>
      </c>
      <c r="C734" s="4" t="s">
        <v>75</v>
      </c>
      <c r="D734" s="7" t="s">
        <v>336</v>
      </c>
      <c r="F734" t="s">
        <v>342</v>
      </c>
      <c r="G734" t="s">
        <v>77</v>
      </c>
      <c r="H734" s="31">
        <v>4.58E-2</v>
      </c>
      <c r="I734" s="31">
        <v>4.4200000000000003E-2</v>
      </c>
    </row>
    <row r="735" spans="1:16" x14ac:dyDescent="0.2">
      <c r="A735">
        <v>32</v>
      </c>
      <c r="B735" s="7" t="s">
        <v>328</v>
      </c>
      <c r="C735" s="4" t="s">
        <v>42</v>
      </c>
      <c r="D735" s="7" t="s">
        <v>336</v>
      </c>
      <c r="F735" t="s">
        <v>343</v>
      </c>
      <c r="G735" t="s">
        <v>72</v>
      </c>
      <c r="H735" s="31">
        <v>6.0199999999999997E-2</v>
      </c>
      <c r="I735" s="31">
        <v>4.2000000000000003E-2</v>
      </c>
    </row>
    <row r="736" spans="1:16" x14ac:dyDescent="0.2">
      <c r="A736">
        <v>33</v>
      </c>
      <c r="B736" s="7" t="s">
        <v>328</v>
      </c>
      <c r="C736" s="4" t="s">
        <v>107</v>
      </c>
      <c r="D736" s="7" t="s">
        <v>344</v>
      </c>
      <c r="F736" t="s">
        <v>330</v>
      </c>
      <c r="G736" t="s">
        <v>66</v>
      </c>
      <c r="H736" s="24">
        <v>3391.42</v>
      </c>
      <c r="I736" s="24">
        <v>3353.46</v>
      </c>
      <c r="K736" s="42"/>
      <c r="L736" s="42"/>
      <c r="M736" s="42"/>
      <c r="N736" s="42"/>
      <c r="P736" s="39"/>
    </row>
    <row r="737" spans="1:14" x14ac:dyDescent="0.2">
      <c r="A737">
        <v>33</v>
      </c>
      <c r="B737" s="7" t="s">
        <v>328</v>
      </c>
      <c r="C737" s="4" t="s">
        <v>119</v>
      </c>
      <c r="D737" s="7" t="s">
        <v>344</v>
      </c>
      <c r="F737" t="s">
        <v>331</v>
      </c>
      <c r="G737" t="s">
        <v>79</v>
      </c>
      <c r="H737" s="24">
        <v>7541.99</v>
      </c>
      <c r="I737" s="24">
        <v>6968.18</v>
      </c>
      <c r="K737" s="42"/>
      <c r="L737" s="42"/>
      <c r="M737" s="42"/>
      <c r="N737" s="42"/>
    </row>
    <row r="738" spans="1:14" x14ac:dyDescent="0.2">
      <c r="A738">
        <v>33</v>
      </c>
      <c r="B738" s="7" t="s">
        <v>328</v>
      </c>
      <c r="C738" s="4" t="s">
        <v>117</v>
      </c>
      <c r="D738" s="7" t="s">
        <v>344</v>
      </c>
      <c r="F738" t="s">
        <v>332</v>
      </c>
      <c r="G738" t="s">
        <v>70</v>
      </c>
      <c r="H738" s="24">
        <v>2595.85</v>
      </c>
      <c r="I738" s="24">
        <v>2215.0100000000002</v>
      </c>
      <c r="K738" s="42"/>
      <c r="L738" s="42"/>
      <c r="M738" s="42"/>
      <c r="N738" s="42"/>
    </row>
    <row r="739" spans="1:14" x14ac:dyDescent="0.2">
      <c r="A739">
        <v>33</v>
      </c>
      <c r="B739" s="7" t="s">
        <v>328</v>
      </c>
      <c r="C739" s="4" t="s">
        <v>43</v>
      </c>
      <c r="D739" s="7" t="s">
        <v>344</v>
      </c>
      <c r="F739" t="s">
        <v>340</v>
      </c>
      <c r="G739" t="s">
        <v>74</v>
      </c>
      <c r="H739" s="24">
        <v>900.78</v>
      </c>
      <c r="I739" s="24">
        <v>595.78</v>
      </c>
      <c r="K739" s="42"/>
      <c r="L739" s="42"/>
      <c r="M739" s="42"/>
      <c r="N739" s="42"/>
    </row>
    <row r="740" spans="1:14" x14ac:dyDescent="0.2">
      <c r="A740">
        <v>33</v>
      </c>
      <c r="B740" s="7" t="s">
        <v>328</v>
      </c>
      <c r="C740" s="4" t="s">
        <v>40</v>
      </c>
      <c r="D740" s="7" t="s">
        <v>344</v>
      </c>
      <c r="F740" t="s">
        <v>341</v>
      </c>
      <c r="G740" t="s">
        <v>68</v>
      </c>
      <c r="H740" s="24">
        <v>1009.1</v>
      </c>
      <c r="I740" s="24">
        <v>938.51</v>
      </c>
      <c r="K740" s="42"/>
      <c r="L740" s="42"/>
      <c r="M740" s="42"/>
      <c r="N740" s="42"/>
    </row>
    <row r="741" spans="1:14" x14ac:dyDescent="0.2">
      <c r="A741">
        <v>33</v>
      </c>
      <c r="B741" s="7" t="s">
        <v>328</v>
      </c>
      <c r="C741" s="4" t="s">
        <v>75</v>
      </c>
      <c r="D741" s="7" t="s">
        <v>344</v>
      </c>
      <c r="F741" t="s">
        <v>334</v>
      </c>
      <c r="G741" t="s">
        <v>77</v>
      </c>
      <c r="H741" s="24">
        <v>83.691000000000003</v>
      </c>
      <c r="I741" s="24">
        <v>85.413600000000002</v>
      </c>
      <c r="K741" s="42"/>
      <c r="L741" s="42"/>
      <c r="M741" s="42"/>
      <c r="N741" s="42"/>
    </row>
    <row r="742" spans="1:14" x14ac:dyDescent="0.2">
      <c r="A742">
        <v>33</v>
      </c>
      <c r="B742" s="7" t="s">
        <v>328</v>
      </c>
      <c r="C742" s="4" t="s">
        <v>42</v>
      </c>
      <c r="D742" s="7" t="s">
        <v>344</v>
      </c>
      <c r="F742" t="s">
        <v>335</v>
      </c>
      <c r="G742" t="s">
        <v>72</v>
      </c>
      <c r="H742" s="24">
        <v>147.86930000000001</v>
      </c>
      <c r="I742" s="24">
        <v>245.59569999999999</v>
      </c>
      <c r="K742" s="42"/>
      <c r="L742" s="42"/>
      <c r="M742" s="42"/>
      <c r="N742" s="42"/>
    </row>
    <row r="743" spans="1:14" x14ac:dyDescent="0.2">
      <c r="A743">
        <v>33</v>
      </c>
      <c r="B743" s="7" t="s">
        <v>328</v>
      </c>
      <c r="C743" s="4" t="s">
        <v>107</v>
      </c>
      <c r="D743" s="7" t="s">
        <v>345</v>
      </c>
      <c r="F743" t="s">
        <v>330</v>
      </c>
      <c r="G743" t="s">
        <v>66</v>
      </c>
      <c r="H743" s="24">
        <v>5535.97</v>
      </c>
      <c r="I743" s="24">
        <v>3957.27</v>
      </c>
      <c r="K743" s="42"/>
      <c r="L743" s="42"/>
      <c r="M743" s="42"/>
      <c r="N743" s="42"/>
    </row>
    <row r="744" spans="1:14" x14ac:dyDescent="0.2">
      <c r="A744">
        <v>33</v>
      </c>
      <c r="B744" s="7" t="s">
        <v>328</v>
      </c>
      <c r="C744" s="4" t="s">
        <v>119</v>
      </c>
      <c r="D744" s="7" t="s">
        <v>345</v>
      </c>
      <c r="F744" t="s">
        <v>331</v>
      </c>
      <c r="G744" t="s">
        <v>79</v>
      </c>
      <c r="H744" s="24">
        <v>11658.07</v>
      </c>
      <c r="I744" s="24">
        <v>9698.18</v>
      </c>
      <c r="K744" s="42"/>
      <c r="L744" s="42"/>
      <c r="M744" s="42"/>
      <c r="N744" s="42"/>
    </row>
    <row r="745" spans="1:14" x14ac:dyDescent="0.2">
      <c r="A745">
        <v>33</v>
      </c>
      <c r="B745" s="7" t="s">
        <v>328</v>
      </c>
      <c r="C745" s="4" t="s">
        <v>117</v>
      </c>
      <c r="D745" s="7" t="s">
        <v>345</v>
      </c>
      <c r="F745" t="s">
        <v>332</v>
      </c>
      <c r="G745" t="s">
        <v>70</v>
      </c>
      <c r="H745" s="24">
        <v>7650.26</v>
      </c>
      <c r="I745" s="24">
        <v>5517.78</v>
      </c>
      <c r="K745" s="42"/>
      <c r="L745" s="42"/>
      <c r="M745" s="42"/>
      <c r="N745" s="42"/>
    </row>
    <row r="746" spans="1:14" x14ac:dyDescent="0.2">
      <c r="A746">
        <v>33</v>
      </c>
      <c r="B746" s="7" t="s">
        <v>328</v>
      </c>
      <c r="C746" s="4" t="s">
        <v>43</v>
      </c>
      <c r="D746" s="7" t="s">
        <v>345</v>
      </c>
      <c r="F746" t="s">
        <v>266</v>
      </c>
      <c r="G746" t="s">
        <v>74</v>
      </c>
      <c r="H746" s="24">
        <v>1965.01</v>
      </c>
      <c r="I746" s="24">
        <v>1265.6600000000001</v>
      </c>
      <c r="K746" s="42"/>
      <c r="L746" s="42"/>
      <c r="M746" s="42"/>
      <c r="N746" s="42"/>
    </row>
    <row r="747" spans="1:14" x14ac:dyDescent="0.2">
      <c r="A747">
        <v>33</v>
      </c>
      <c r="B747" s="7" t="s">
        <v>328</v>
      </c>
      <c r="C747" s="4" t="s">
        <v>40</v>
      </c>
      <c r="D747" s="7" t="s">
        <v>345</v>
      </c>
      <c r="F747" t="s">
        <v>333</v>
      </c>
      <c r="G747" t="s">
        <v>68</v>
      </c>
      <c r="H747" s="24">
        <v>4244.3</v>
      </c>
      <c r="I747" s="24">
        <v>2951.23</v>
      </c>
      <c r="K747" s="42"/>
      <c r="L747" s="42"/>
      <c r="M747" s="42"/>
      <c r="N747" s="42"/>
    </row>
    <row r="748" spans="1:14" x14ac:dyDescent="0.2">
      <c r="A748">
        <v>33</v>
      </c>
      <c r="B748" s="7" t="s">
        <v>328</v>
      </c>
      <c r="C748" s="4" t="s">
        <v>75</v>
      </c>
      <c r="D748" s="7" t="s">
        <v>345</v>
      </c>
      <c r="F748" t="s">
        <v>342</v>
      </c>
      <c r="G748" t="s">
        <v>77</v>
      </c>
      <c r="H748" s="24">
        <v>20.374199999999998</v>
      </c>
      <c r="I748" s="24">
        <v>0.58499999999999996</v>
      </c>
      <c r="K748" s="42"/>
      <c r="L748" s="42"/>
      <c r="M748" s="42"/>
      <c r="N748" s="42"/>
    </row>
    <row r="749" spans="1:14" x14ac:dyDescent="0.2">
      <c r="A749">
        <v>33</v>
      </c>
      <c r="B749" s="7" t="s">
        <v>328</v>
      </c>
      <c r="C749" s="4" t="s">
        <v>42</v>
      </c>
      <c r="D749" s="7" t="s">
        <v>345</v>
      </c>
      <c r="F749" t="s">
        <v>343</v>
      </c>
      <c r="G749" t="s">
        <v>72</v>
      </c>
      <c r="H749" s="24">
        <v>52.460600000000007</v>
      </c>
      <c r="I749" s="24">
        <v>1.4198</v>
      </c>
      <c r="K749" s="42"/>
      <c r="L749" s="42"/>
      <c r="M749" s="42"/>
      <c r="N749" s="42"/>
    </row>
    <row r="750" spans="1:14" x14ac:dyDescent="0.2">
      <c r="A750">
        <v>34</v>
      </c>
      <c r="B750" s="7" t="s">
        <v>346</v>
      </c>
      <c r="C750" s="4" t="s">
        <v>107</v>
      </c>
      <c r="D750" s="7" t="s">
        <v>347</v>
      </c>
      <c r="E750" s="7" t="s">
        <v>348</v>
      </c>
      <c r="F750" t="s">
        <v>349</v>
      </c>
      <c r="G750" t="s">
        <v>66</v>
      </c>
      <c r="H750">
        <v>10137</v>
      </c>
      <c r="I750">
        <v>8876</v>
      </c>
    </row>
    <row r="751" spans="1:14" x14ac:dyDescent="0.2">
      <c r="A751">
        <v>34</v>
      </c>
      <c r="B751" s="7" t="s">
        <v>346</v>
      </c>
      <c r="C751" s="4" t="s">
        <v>119</v>
      </c>
      <c r="D751" s="7" t="s">
        <v>347</v>
      </c>
      <c r="E751" s="7" t="s">
        <v>348</v>
      </c>
      <c r="F751" t="s">
        <v>350</v>
      </c>
      <c r="G751" t="s">
        <v>79</v>
      </c>
      <c r="H751">
        <v>18320</v>
      </c>
      <c r="I751">
        <v>16439</v>
      </c>
    </row>
    <row r="752" spans="1:14" x14ac:dyDescent="0.2">
      <c r="A752">
        <v>34</v>
      </c>
      <c r="B752" s="7" t="s">
        <v>346</v>
      </c>
      <c r="C752" s="4" t="s">
        <v>117</v>
      </c>
      <c r="D752" s="7" t="s">
        <v>347</v>
      </c>
      <c r="E752" s="7" t="s">
        <v>348</v>
      </c>
      <c r="F752" t="s">
        <v>351</v>
      </c>
      <c r="G752" t="s">
        <v>70</v>
      </c>
      <c r="H752" s="22">
        <v>11489</v>
      </c>
      <c r="I752" s="22">
        <v>11639</v>
      </c>
    </row>
    <row r="753" spans="1:9" x14ac:dyDescent="0.2">
      <c r="A753">
        <v>34</v>
      </c>
      <c r="B753" s="7" t="s">
        <v>346</v>
      </c>
      <c r="C753" s="4" t="s">
        <v>43</v>
      </c>
      <c r="D753" s="7" t="s">
        <v>347</v>
      </c>
      <c r="E753" s="7" t="s">
        <v>348</v>
      </c>
      <c r="F753" t="s">
        <v>352</v>
      </c>
      <c r="G753" t="s">
        <v>74</v>
      </c>
      <c r="H753">
        <v>3640</v>
      </c>
      <c r="I753" s="24">
        <v>3309</v>
      </c>
    </row>
    <row r="754" spans="1:9" x14ac:dyDescent="0.2">
      <c r="A754">
        <v>34</v>
      </c>
      <c r="B754" s="7" t="s">
        <v>346</v>
      </c>
      <c r="C754" s="4" t="s">
        <v>40</v>
      </c>
      <c r="D754" s="7" t="s">
        <v>347</v>
      </c>
      <c r="E754" s="7" t="s">
        <v>348</v>
      </c>
      <c r="F754" t="s">
        <v>353</v>
      </c>
      <c r="G754" t="s">
        <v>68</v>
      </c>
      <c r="H754" s="22">
        <v>7126</v>
      </c>
      <c r="I754" s="22">
        <v>6671</v>
      </c>
    </row>
    <row r="755" spans="1:9" x14ac:dyDescent="0.2">
      <c r="A755">
        <v>34</v>
      </c>
      <c r="B755" s="7" t="s">
        <v>346</v>
      </c>
      <c r="C755" s="4" t="s">
        <v>75</v>
      </c>
      <c r="D755" s="7" t="s">
        <v>347</v>
      </c>
      <c r="E755" s="7" t="s">
        <v>348</v>
      </c>
      <c r="F755" t="s">
        <v>354</v>
      </c>
      <c r="G755" t="s">
        <v>77</v>
      </c>
      <c r="H755" s="24">
        <v>127</v>
      </c>
      <c r="I755" s="24">
        <v>75</v>
      </c>
    </row>
    <row r="756" spans="1:9" x14ac:dyDescent="0.2">
      <c r="A756">
        <v>34</v>
      </c>
      <c r="B756" s="7" t="s">
        <v>346</v>
      </c>
      <c r="C756" s="4" t="s">
        <v>42</v>
      </c>
      <c r="D756" s="7" t="s">
        <v>347</v>
      </c>
      <c r="E756" s="7" t="s">
        <v>348</v>
      </c>
      <c r="F756" t="s">
        <v>355</v>
      </c>
      <c r="G756" t="s">
        <v>72</v>
      </c>
      <c r="H756" s="24">
        <v>1915</v>
      </c>
      <c r="I756" s="24">
        <v>1458</v>
      </c>
    </row>
    <row r="757" spans="1:9" x14ac:dyDescent="0.2">
      <c r="A757">
        <v>34</v>
      </c>
      <c r="B757" s="7" t="s">
        <v>346</v>
      </c>
      <c r="C757" s="4" t="s">
        <v>107</v>
      </c>
      <c r="D757" s="7" t="s">
        <v>356</v>
      </c>
      <c r="E757" s="7" t="s">
        <v>101</v>
      </c>
      <c r="F757" t="s">
        <v>349</v>
      </c>
      <c r="G757" t="s">
        <v>66</v>
      </c>
      <c r="H757">
        <v>224810</v>
      </c>
      <c r="I757">
        <v>172505</v>
      </c>
    </row>
    <row r="758" spans="1:9" x14ac:dyDescent="0.2">
      <c r="A758">
        <v>34</v>
      </c>
      <c r="B758" s="7" t="s">
        <v>346</v>
      </c>
      <c r="C758" s="4" t="s">
        <v>119</v>
      </c>
      <c r="D758" s="7" t="s">
        <v>356</v>
      </c>
      <c r="E758" s="7" t="s">
        <v>101</v>
      </c>
      <c r="F758" t="s">
        <v>350</v>
      </c>
      <c r="G758" t="s">
        <v>79</v>
      </c>
      <c r="H758">
        <v>818649</v>
      </c>
      <c r="I758">
        <v>760909</v>
      </c>
    </row>
    <row r="759" spans="1:9" x14ac:dyDescent="0.2">
      <c r="A759">
        <v>34</v>
      </c>
      <c r="B759" s="7" t="s">
        <v>346</v>
      </c>
      <c r="C759" s="4" t="s">
        <v>117</v>
      </c>
      <c r="D759" s="7" t="s">
        <v>356</v>
      </c>
      <c r="E759" s="7" t="s">
        <v>101</v>
      </c>
      <c r="F759" t="s">
        <v>351</v>
      </c>
      <c r="G759" t="s">
        <v>70</v>
      </c>
      <c r="H759" t="s">
        <v>357</v>
      </c>
      <c r="I759" s="22">
        <v>347370</v>
      </c>
    </row>
    <row r="760" spans="1:9" x14ac:dyDescent="0.2">
      <c r="A760">
        <v>34</v>
      </c>
      <c r="B760" s="7" t="s">
        <v>346</v>
      </c>
      <c r="C760" s="4" t="s">
        <v>43</v>
      </c>
      <c r="D760" s="7" t="s">
        <v>356</v>
      </c>
      <c r="E760" s="7" t="s">
        <v>101</v>
      </c>
      <c r="F760" t="s">
        <v>352</v>
      </c>
      <c r="G760" t="s">
        <v>74</v>
      </c>
      <c r="H760">
        <v>100506</v>
      </c>
      <c r="I760" s="24">
        <v>79265</v>
      </c>
    </row>
    <row r="761" spans="1:9" x14ac:dyDescent="0.2">
      <c r="A761">
        <v>34</v>
      </c>
      <c r="B761" s="7" t="s">
        <v>346</v>
      </c>
      <c r="C761" s="4" t="s">
        <v>40</v>
      </c>
      <c r="D761" s="7" t="s">
        <v>356</v>
      </c>
      <c r="E761" s="7" t="s">
        <v>101</v>
      </c>
      <c r="F761" t="s">
        <v>353</v>
      </c>
      <c r="G761" t="s">
        <v>68</v>
      </c>
      <c r="H761" t="s">
        <v>358</v>
      </c>
      <c r="I761" t="s">
        <v>359</v>
      </c>
    </row>
    <row r="762" spans="1:9" x14ac:dyDescent="0.2">
      <c r="A762">
        <v>34</v>
      </c>
      <c r="B762" s="7" t="s">
        <v>346</v>
      </c>
      <c r="C762" s="4" t="s">
        <v>75</v>
      </c>
      <c r="D762" s="7" t="s">
        <v>356</v>
      </c>
      <c r="E762" s="7" t="s">
        <v>101</v>
      </c>
      <c r="F762" t="s">
        <v>354</v>
      </c>
      <c r="G762" t="s">
        <v>77</v>
      </c>
      <c r="H762">
        <v>0</v>
      </c>
      <c r="I762" t="s">
        <v>50</v>
      </c>
    </row>
    <row r="763" spans="1:9" x14ac:dyDescent="0.2">
      <c r="A763">
        <v>34</v>
      </c>
      <c r="B763" s="7" t="s">
        <v>346</v>
      </c>
      <c r="C763" s="4" t="s">
        <v>42</v>
      </c>
      <c r="D763" s="7" t="s">
        <v>356</v>
      </c>
      <c r="E763" s="7" t="s">
        <v>101</v>
      </c>
      <c r="F763" t="s">
        <v>355</v>
      </c>
      <c r="G763" t="s">
        <v>72</v>
      </c>
      <c r="H763">
        <v>10680</v>
      </c>
      <c r="I763">
        <v>2420</v>
      </c>
    </row>
    <row r="764" spans="1:9" x14ac:dyDescent="0.2">
      <c r="A764">
        <v>35</v>
      </c>
      <c r="B764" s="7" t="s">
        <v>346</v>
      </c>
      <c r="C764" s="4" t="s">
        <v>107</v>
      </c>
      <c r="D764" s="7" t="s">
        <v>360</v>
      </c>
      <c r="E764" s="7" t="s">
        <v>361</v>
      </c>
      <c r="F764" t="s">
        <v>349</v>
      </c>
      <c r="G764" t="s">
        <v>66</v>
      </c>
      <c r="H764">
        <v>210</v>
      </c>
      <c r="I764" s="24">
        <v>212</v>
      </c>
    </row>
    <row r="765" spans="1:9" x14ac:dyDescent="0.2">
      <c r="A765">
        <v>35</v>
      </c>
      <c r="B765" s="7" t="s">
        <v>346</v>
      </c>
      <c r="C765" s="4" t="s">
        <v>119</v>
      </c>
      <c r="D765" s="7" t="s">
        <v>360</v>
      </c>
      <c r="E765" s="7" t="s">
        <v>361</v>
      </c>
      <c r="F765" t="s">
        <v>350</v>
      </c>
      <c r="G765" t="s">
        <v>79</v>
      </c>
      <c r="H765">
        <v>918</v>
      </c>
      <c r="I765" s="24">
        <v>910</v>
      </c>
    </row>
    <row r="766" spans="1:9" x14ac:dyDescent="0.2">
      <c r="A766">
        <v>35</v>
      </c>
      <c r="B766" s="7" t="s">
        <v>346</v>
      </c>
      <c r="C766" s="4" t="s">
        <v>117</v>
      </c>
      <c r="D766" s="7" t="s">
        <v>360</v>
      </c>
      <c r="E766" s="7" t="s">
        <v>361</v>
      </c>
      <c r="F766" t="s">
        <v>351</v>
      </c>
      <c r="G766" t="s">
        <v>70</v>
      </c>
      <c r="H766">
        <v>274</v>
      </c>
      <c r="I766" s="24">
        <v>269</v>
      </c>
    </row>
    <row r="767" spans="1:9" x14ac:dyDescent="0.2">
      <c r="A767">
        <v>35</v>
      </c>
      <c r="B767" s="7" t="s">
        <v>346</v>
      </c>
      <c r="C767" s="4" t="s">
        <v>43</v>
      </c>
      <c r="D767" s="7" t="s">
        <v>360</v>
      </c>
      <c r="E767" s="7" t="s">
        <v>361</v>
      </c>
      <c r="F767" t="s">
        <v>352</v>
      </c>
      <c r="G767" t="s">
        <v>74</v>
      </c>
      <c r="H767">
        <v>120</v>
      </c>
      <c r="I767" s="24">
        <v>102</v>
      </c>
    </row>
    <row r="768" spans="1:9" x14ac:dyDescent="0.2">
      <c r="A768">
        <v>35</v>
      </c>
      <c r="B768" s="7" t="s">
        <v>346</v>
      </c>
      <c r="C768" s="4" t="s">
        <v>40</v>
      </c>
      <c r="D768" s="7" t="s">
        <v>360</v>
      </c>
      <c r="E768" s="7" t="s">
        <v>361</v>
      </c>
      <c r="F768" t="s">
        <v>353</v>
      </c>
      <c r="G768" t="s">
        <v>68</v>
      </c>
      <c r="H768">
        <v>229</v>
      </c>
      <c r="I768" s="24">
        <v>227</v>
      </c>
    </row>
    <row r="769" spans="1:9" x14ac:dyDescent="0.2">
      <c r="A769">
        <v>35</v>
      </c>
      <c r="B769" s="7" t="s">
        <v>346</v>
      </c>
      <c r="C769" s="4" t="s">
        <v>75</v>
      </c>
      <c r="D769" s="7" t="s">
        <v>360</v>
      </c>
      <c r="E769" s="7" t="s">
        <v>361</v>
      </c>
      <c r="F769" t="s">
        <v>354</v>
      </c>
      <c r="G769" t="s">
        <v>77</v>
      </c>
      <c r="H769" s="24">
        <v>4</v>
      </c>
      <c r="I769">
        <v>0</v>
      </c>
    </row>
    <row r="770" spans="1:9" x14ac:dyDescent="0.2">
      <c r="A770">
        <v>35</v>
      </c>
      <c r="B770" s="7" t="s">
        <v>346</v>
      </c>
      <c r="C770" s="4" t="s">
        <v>42</v>
      </c>
      <c r="D770" s="7" t="s">
        <v>360</v>
      </c>
      <c r="E770" s="7" t="s">
        <v>361</v>
      </c>
      <c r="F770" t="s">
        <v>355</v>
      </c>
      <c r="G770" t="s">
        <v>72</v>
      </c>
      <c r="H770" s="24">
        <v>72</v>
      </c>
      <c r="I770" s="24">
        <v>58</v>
      </c>
    </row>
    <row r="771" spans="1:9" ht="14.45" customHeight="1" x14ac:dyDescent="0.2">
      <c r="A771">
        <v>35</v>
      </c>
      <c r="B771" s="7" t="s">
        <v>346</v>
      </c>
      <c r="C771" s="15" t="s">
        <v>107</v>
      </c>
      <c r="D771" s="7" t="s">
        <v>362</v>
      </c>
      <c r="E771" s="7" t="s">
        <v>101</v>
      </c>
      <c r="F771" t="s">
        <v>349</v>
      </c>
      <c r="G771" t="s">
        <v>66</v>
      </c>
      <c r="H771">
        <v>224810</v>
      </c>
      <c r="I771" s="22">
        <v>172505</v>
      </c>
    </row>
    <row r="772" spans="1:9" x14ac:dyDescent="0.2">
      <c r="A772">
        <v>35</v>
      </c>
      <c r="B772" s="7" t="s">
        <v>346</v>
      </c>
      <c r="C772" s="15" t="s">
        <v>107</v>
      </c>
      <c r="D772" s="7" t="s">
        <v>362</v>
      </c>
      <c r="E772" s="7" t="s">
        <v>363</v>
      </c>
      <c r="F772" t="s">
        <v>349</v>
      </c>
      <c r="G772" t="s">
        <v>66</v>
      </c>
      <c r="H772">
        <v>26</v>
      </c>
      <c r="I772">
        <v>24</v>
      </c>
    </row>
    <row r="773" spans="1:9" x14ac:dyDescent="0.2">
      <c r="A773">
        <v>35</v>
      </c>
      <c r="B773" s="7" t="s">
        <v>346</v>
      </c>
      <c r="C773" s="15" t="s">
        <v>107</v>
      </c>
      <c r="D773" s="7" t="s">
        <v>362</v>
      </c>
      <c r="E773" s="7" t="s">
        <v>364</v>
      </c>
      <c r="F773" t="s">
        <v>349</v>
      </c>
      <c r="G773" t="s">
        <v>66</v>
      </c>
      <c r="H773">
        <v>90</v>
      </c>
      <c r="I773">
        <v>73</v>
      </c>
    </row>
    <row r="774" spans="1:9" x14ac:dyDescent="0.2">
      <c r="A774">
        <v>35</v>
      </c>
      <c r="B774" s="7" t="s">
        <v>346</v>
      </c>
      <c r="C774" s="15" t="s">
        <v>107</v>
      </c>
      <c r="D774" s="7" t="s">
        <v>362</v>
      </c>
      <c r="E774" s="7" t="s">
        <v>104</v>
      </c>
      <c r="F774" t="s">
        <v>349</v>
      </c>
      <c r="G774" t="s">
        <v>66</v>
      </c>
      <c r="H774">
        <v>576</v>
      </c>
      <c r="I774">
        <v>516</v>
      </c>
    </row>
    <row r="775" spans="1:9" x14ac:dyDescent="0.2">
      <c r="A775">
        <v>35</v>
      </c>
      <c r="B775" s="7" t="s">
        <v>346</v>
      </c>
      <c r="C775" s="15" t="s">
        <v>107</v>
      </c>
      <c r="D775" s="7" t="s">
        <v>362</v>
      </c>
      <c r="E775" s="7" t="s">
        <v>365</v>
      </c>
      <c r="F775" t="s">
        <v>349</v>
      </c>
      <c r="G775" t="s">
        <v>66</v>
      </c>
      <c r="H775">
        <v>10</v>
      </c>
      <c r="I775">
        <v>11</v>
      </c>
    </row>
    <row r="776" spans="1:9" x14ac:dyDescent="0.2">
      <c r="A776">
        <v>35</v>
      </c>
      <c r="B776" s="7" t="s">
        <v>346</v>
      </c>
      <c r="C776" s="15" t="s">
        <v>107</v>
      </c>
      <c r="D776" s="7" t="s">
        <v>362</v>
      </c>
      <c r="E776" s="7" t="s">
        <v>112</v>
      </c>
      <c r="F776" t="s">
        <v>349</v>
      </c>
      <c r="G776" t="s">
        <v>66</v>
      </c>
      <c r="H776">
        <v>291</v>
      </c>
      <c r="I776">
        <v>219</v>
      </c>
    </row>
    <row r="777" spans="1:9" x14ac:dyDescent="0.2">
      <c r="A777">
        <v>35</v>
      </c>
      <c r="B777" s="7" t="s">
        <v>346</v>
      </c>
      <c r="C777" s="15" t="s">
        <v>107</v>
      </c>
      <c r="D777" s="7" t="s">
        <v>362</v>
      </c>
      <c r="E777" s="7" t="s">
        <v>114</v>
      </c>
      <c r="F777" t="s">
        <v>349</v>
      </c>
      <c r="G777" t="s">
        <v>66</v>
      </c>
      <c r="H777" s="22">
        <v>31043</v>
      </c>
      <c r="I777" s="22">
        <v>25132</v>
      </c>
    </row>
    <row r="778" spans="1:9" x14ac:dyDescent="0.2">
      <c r="A778">
        <v>35</v>
      </c>
      <c r="B778" s="7" t="s">
        <v>346</v>
      </c>
      <c r="C778" s="15" t="s">
        <v>119</v>
      </c>
      <c r="D778" s="7" t="s">
        <v>362</v>
      </c>
      <c r="E778" s="7" t="s">
        <v>101</v>
      </c>
      <c r="F778" t="s">
        <v>366</v>
      </c>
      <c r="G778" t="s">
        <v>79</v>
      </c>
      <c r="H778">
        <v>818649</v>
      </c>
      <c r="I778">
        <v>760909</v>
      </c>
    </row>
    <row r="779" spans="1:9" x14ac:dyDescent="0.2">
      <c r="A779">
        <v>35</v>
      </c>
      <c r="B779" s="7" t="s">
        <v>346</v>
      </c>
      <c r="C779" s="15" t="s">
        <v>119</v>
      </c>
      <c r="D779" s="7" t="s">
        <v>362</v>
      </c>
      <c r="E779" s="7" t="s">
        <v>363</v>
      </c>
      <c r="F779" t="s">
        <v>366</v>
      </c>
      <c r="G779" t="s">
        <v>79</v>
      </c>
      <c r="H779">
        <v>36</v>
      </c>
      <c r="I779">
        <v>45</v>
      </c>
    </row>
    <row r="780" spans="1:9" x14ac:dyDescent="0.2">
      <c r="A780">
        <v>35</v>
      </c>
      <c r="B780" s="7" t="s">
        <v>346</v>
      </c>
      <c r="C780" s="15" t="s">
        <v>119</v>
      </c>
      <c r="D780" s="7" t="s">
        <v>362</v>
      </c>
      <c r="E780" s="7" t="s">
        <v>364</v>
      </c>
      <c r="F780" t="s">
        <v>366</v>
      </c>
      <c r="G780" t="s">
        <v>79</v>
      </c>
      <c r="H780">
        <v>78</v>
      </c>
      <c r="I780">
        <v>73</v>
      </c>
    </row>
    <row r="781" spans="1:9" x14ac:dyDescent="0.2">
      <c r="A781">
        <v>35</v>
      </c>
      <c r="B781" s="7" t="s">
        <v>346</v>
      </c>
      <c r="C781" s="15" t="s">
        <v>119</v>
      </c>
      <c r="D781" s="7" t="s">
        <v>362</v>
      </c>
      <c r="E781" s="7" t="s">
        <v>104</v>
      </c>
      <c r="F781" t="s">
        <v>366</v>
      </c>
      <c r="G781" t="s">
        <v>79</v>
      </c>
      <c r="H781">
        <v>515</v>
      </c>
      <c r="I781">
        <v>509</v>
      </c>
    </row>
    <row r="782" spans="1:9" x14ac:dyDescent="0.2">
      <c r="A782">
        <v>35</v>
      </c>
      <c r="B782" s="7" t="s">
        <v>346</v>
      </c>
      <c r="C782" s="15" t="s">
        <v>119</v>
      </c>
      <c r="D782" s="7" t="s">
        <v>362</v>
      </c>
      <c r="E782" s="7" t="s">
        <v>365</v>
      </c>
      <c r="F782" t="s">
        <v>366</v>
      </c>
      <c r="G782" t="s">
        <v>79</v>
      </c>
      <c r="H782">
        <v>6</v>
      </c>
      <c r="I782">
        <v>10</v>
      </c>
    </row>
    <row r="783" spans="1:9" x14ac:dyDescent="0.2">
      <c r="A783">
        <v>35</v>
      </c>
      <c r="B783" s="7" t="s">
        <v>346</v>
      </c>
      <c r="C783" s="15" t="s">
        <v>119</v>
      </c>
      <c r="D783" s="7" t="s">
        <v>362</v>
      </c>
      <c r="E783" s="7" t="s">
        <v>112</v>
      </c>
      <c r="F783" t="s">
        <v>366</v>
      </c>
      <c r="G783" t="s">
        <v>79</v>
      </c>
      <c r="H783">
        <v>100</v>
      </c>
      <c r="I783">
        <v>88</v>
      </c>
    </row>
    <row r="784" spans="1:9" x14ac:dyDescent="0.2">
      <c r="A784">
        <v>35</v>
      </c>
      <c r="B784" s="7" t="s">
        <v>346</v>
      </c>
      <c r="C784" s="15" t="s">
        <v>119</v>
      </c>
      <c r="D784" s="7" t="s">
        <v>362</v>
      </c>
      <c r="E784" s="7" t="s">
        <v>114</v>
      </c>
      <c r="F784" t="s">
        <v>366</v>
      </c>
      <c r="G784" t="s">
        <v>79</v>
      </c>
      <c r="H784">
        <v>8480</v>
      </c>
      <c r="I784">
        <v>8594</v>
      </c>
    </row>
    <row r="785" spans="1:9" x14ac:dyDescent="0.2">
      <c r="A785">
        <v>35</v>
      </c>
      <c r="B785" s="7" t="s">
        <v>346</v>
      </c>
      <c r="C785" s="4" t="s">
        <v>117</v>
      </c>
      <c r="D785" s="7" t="s">
        <v>362</v>
      </c>
      <c r="E785" s="7" t="s">
        <v>101</v>
      </c>
      <c r="F785" t="s">
        <v>367</v>
      </c>
      <c r="G785" t="s">
        <v>70</v>
      </c>
      <c r="H785" t="s">
        <v>357</v>
      </c>
      <c r="I785" s="22">
        <v>347370</v>
      </c>
    </row>
    <row r="786" spans="1:9" x14ac:dyDescent="0.2">
      <c r="A786">
        <v>35</v>
      </c>
      <c r="B786" s="7" t="s">
        <v>346</v>
      </c>
      <c r="C786" s="4" t="s">
        <v>117</v>
      </c>
      <c r="D786" s="7" t="s">
        <v>362</v>
      </c>
      <c r="E786" s="7" t="s">
        <v>363</v>
      </c>
      <c r="F786" t="s">
        <v>367</v>
      </c>
      <c r="G786" t="s">
        <v>70</v>
      </c>
      <c r="H786">
        <v>59</v>
      </c>
      <c r="I786" s="24">
        <v>68</v>
      </c>
    </row>
    <row r="787" spans="1:9" x14ac:dyDescent="0.2">
      <c r="A787">
        <v>35</v>
      </c>
      <c r="B787" s="7" t="s">
        <v>346</v>
      </c>
      <c r="C787" s="4" t="s">
        <v>117</v>
      </c>
      <c r="D787" s="7" t="s">
        <v>362</v>
      </c>
      <c r="E787" s="7" t="s">
        <v>364</v>
      </c>
      <c r="F787" t="s">
        <v>367</v>
      </c>
      <c r="G787" t="s">
        <v>70</v>
      </c>
      <c r="H787">
        <v>171</v>
      </c>
      <c r="I787" s="24">
        <v>153</v>
      </c>
    </row>
    <row r="788" spans="1:9" x14ac:dyDescent="0.2">
      <c r="A788">
        <v>35</v>
      </c>
      <c r="B788" s="7" t="s">
        <v>346</v>
      </c>
      <c r="C788" s="4" t="s">
        <v>117</v>
      </c>
      <c r="D788" s="7" t="s">
        <v>362</v>
      </c>
      <c r="E788" s="7" t="s">
        <v>104</v>
      </c>
      <c r="F788" t="s">
        <v>367</v>
      </c>
      <c r="G788" t="s">
        <v>70</v>
      </c>
      <c r="H788">
        <v>624</v>
      </c>
      <c r="I788" s="24">
        <v>615</v>
      </c>
    </row>
    <row r="789" spans="1:9" x14ac:dyDescent="0.2">
      <c r="A789">
        <v>35</v>
      </c>
      <c r="B789" s="7" t="s">
        <v>346</v>
      </c>
      <c r="C789" s="4" t="s">
        <v>117</v>
      </c>
      <c r="D789" s="7" t="s">
        <v>362</v>
      </c>
      <c r="E789" s="7" t="s">
        <v>365</v>
      </c>
      <c r="F789" t="s">
        <v>367</v>
      </c>
      <c r="G789" t="s">
        <v>70</v>
      </c>
      <c r="H789">
        <v>7</v>
      </c>
      <c r="I789" s="24">
        <v>25</v>
      </c>
    </row>
    <row r="790" spans="1:9" x14ac:dyDescent="0.2">
      <c r="A790">
        <v>35</v>
      </c>
      <c r="B790" s="7" t="s">
        <v>346</v>
      </c>
      <c r="C790" s="4" t="s">
        <v>117</v>
      </c>
      <c r="D790" s="7" t="s">
        <v>362</v>
      </c>
      <c r="E790" s="7" t="s">
        <v>112</v>
      </c>
      <c r="F790" t="s">
        <v>367</v>
      </c>
      <c r="G790" t="s">
        <v>70</v>
      </c>
      <c r="H790">
        <v>279</v>
      </c>
      <c r="I790" s="24">
        <v>254</v>
      </c>
    </row>
    <row r="791" spans="1:9" x14ac:dyDescent="0.2">
      <c r="A791">
        <v>35</v>
      </c>
      <c r="B791" s="7" t="s">
        <v>346</v>
      </c>
      <c r="C791" s="4" t="s">
        <v>117</v>
      </c>
      <c r="D791" s="7" t="s">
        <v>362</v>
      </c>
      <c r="E791" s="7" t="s">
        <v>114</v>
      </c>
      <c r="F791" t="s">
        <v>367</v>
      </c>
      <c r="G791" t="s">
        <v>70</v>
      </c>
      <c r="H791" s="22">
        <v>72072</v>
      </c>
      <c r="I791" s="22">
        <v>59023</v>
      </c>
    </row>
    <row r="792" spans="1:9" x14ac:dyDescent="0.2">
      <c r="A792">
        <v>35</v>
      </c>
      <c r="B792" s="7" t="s">
        <v>346</v>
      </c>
      <c r="C792" s="4" t="s">
        <v>43</v>
      </c>
      <c r="D792" s="7" t="s">
        <v>362</v>
      </c>
      <c r="E792" s="7" t="s">
        <v>101</v>
      </c>
      <c r="F792" t="s">
        <v>368</v>
      </c>
      <c r="G792" t="s">
        <v>74</v>
      </c>
      <c r="H792">
        <v>100506</v>
      </c>
      <c r="I792" s="24">
        <v>79265</v>
      </c>
    </row>
    <row r="793" spans="1:9" x14ac:dyDescent="0.2">
      <c r="A793">
        <v>35</v>
      </c>
      <c r="B793" s="7" t="s">
        <v>346</v>
      </c>
      <c r="C793" s="4" t="s">
        <v>43</v>
      </c>
      <c r="D793" s="7" t="s">
        <v>362</v>
      </c>
      <c r="E793" s="7" t="s">
        <v>363</v>
      </c>
      <c r="F793" t="s">
        <v>368</v>
      </c>
      <c r="G793" t="s">
        <v>74</v>
      </c>
      <c r="H793" s="24">
        <v>28</v>
      </c>
      <c r="I793" s="24">
        <v>23</v>
      </c>
    </row>
    <row r="794" spans="1:9" x14ac:dyDescent="0.2">
      <c r="A794">
        <v>35</v>
      </c>
      <c r="B794" s="7" t="s">
        <v>346</v>
      </c>
      <c r="C794" s="4" t="s">
        <v>43</v>
      </c>
      <c r="D794" s="7" t="s">
        <v>362</v>
      </c>
      <c r="E794" s="7" t="s">
        <v>364</v>
      </c>
      <c r="F794" t="s">
        <v>368</v>
      </c>
      <c r="G794" t="s">
        <v>74</v>
      </c>
      <c r="H794">
        <v>79</v>
      </c>
      <c r="I794" s="24">
        <v>63</v>
      </c>
    </row>
    <row r="795" spans="1:9" x14ac:dyDescent="0.2">
      <c r="A795">
        <v>35</v>
      </c>
      <c r="B795" s="7" t="s">
        <v>346</v>
      </c>
      <c r="C795" s="4" t="s">
        <v>43</v>
      </c>
      <c r="D795" s="7" t="s">
        <v>362</v>
      </c>
      <c r="E795" s="7" t="s">
        <v>104</v>
      </c>
      <c r="F795" t="s">
        <v>368</v>
      </c>
      <c r="G795" t="s">
        <v>74</v>
      </c>
      <c r="H795">
        <v>482</v>
      </c>
      <c r="I795" s="24">
        <v>419</v>
      </c>
    </row>
    <row r="796" spans="1:9" x14ac:dyDescent="0.2">
      <c r="A796">
        <v>35</v>
      </c>
      <c r="B796" s="7" t="s">
        <v>346</v>
      </c>
      <c r="C796" s="4" t="s">
        <v>43</v>
      </c>
      <c r="D796" s="7" t="s">
        <v>362</v>
      </c>
      <c r="E796" s="7" t="s">
        <v>365</v>
      </c>
      <c r="F796" t="s">
        <v>368</v>
      </c>
      <c r="G796" t="s">
        <v>74</v>
      </c>
      <c r="H796">
        <v>9</v>
      </c>
      <c r="I796" s="24">
        <v>9</v>
      </c>
    </row>
    <row r="797" spans="1:9" x14ac:dyDescent="0.2">
      <c r="A797">
        <v>35</v>
      </c>
      <c r="B797" s="7" t="s">
        <v>346</v>
      </c>
      <c r="C797" s="4" t="s">
        <v>43</v>
      </c>
      <c r="D797" s="7" t="s">
        <v>362</v>
      </c>
      <c r="E797" s="7" t="s">
        <v>112</v>
      </c>
      <c r="F797" t="s">
        <v>368</v>
      </c>
      <c r="G797" t="s">
        <v>74</v>
      </c>
      <c r="H797">
        <v>188</v>
      </c>
      <c r="I797" s="24">
        <v>134</v>
      </c>
    </row>
    <row r="798" spans="1:9" x14ac:dyDescent="0.2">
      <c r="A798">
        <v>35</v>
      </c>
      <c r="B798" s="7" t="s">
        <v>346</v>
      </c>
      <c r="C798" s="4" t="s">
        <v>43</v>
      </c>
      <c r="D798" s="7" t="s">
        <v>362</v>
      </c>
      <c r="E798" s="7" t="s">
        <v>114</v>
      </c>
      <c r="F798" t="s">
        <v>368</v>
      </c>
      <c r="G798" t="s">
        <v>74</v>
      </c>
      <c r="H798">
        <v>0</v>
      </c>
      <c r="I798" s="24">
        <v>0</v>
      </c>
    </row>
    <row r="799" spans="1:9" x14ac:dyDescent="0.2">
      <c r="A799">
        <v>35</v>
      </c>
      <c r="B799" s="7" t="s">
        <v>346</v>
      </c>
      <c r="C799" s="4" t="s">
        <v>40</v>
      </c>
      <c r="D799" s="7" t="s">
        <v>362</v>
      </c>
      <c r="E799" s="7" t="s">
        <v>101</v>
      </c>
      <c r="F799" t="s">
        <v>353</v>
      </c>
      <c r="G799" t="s">
        <v>68</v>
      </c>
      <c r="H799" t="s">
        <v>358</v>
      </c>
      <c r="I799" t="s">
        <v>359</v>
      </c>
    </row>
    <row r="800" spans="1:9" x14ac:dyDescent="0.2">
      <c r="A800">
        <v>35</v>
      </c>
      <c r="B800" s="7" t="s">
        <v>346</v>
      </c>
      <c r="C800" s="4" t="s">
        <v>40</v>
      </c>
      <c r="D800" s="7" t="s">
        <v>362</v>
      </c>
      <c r="E800" s="7" t="s">
        <v>363</v>
      </c>
      <c r="F800" t="s">
        <v>353</v>
      </c>
      <c r="G800" t="s">
        <v>68</v>
      </c>
      <c r="H800">
        <v>20</v>
      </c>
      <c r="I800" s="24">
        <v>19</v>
      </c>
    </row>
    <row r="801" spans="1:9" x14ac:dyDescent="0.2">
      <c r="A801">
        <v>35</v>
      </c>
      <c r="B801" s="7" t="s">
        <v>346</v>
      </c>
      <c r="C801" s="4" t="s">
        <v>40</v>
      </c>
      <c r="D801" s="7" t="s">
        <v>362</v>
      </c>
      <c r="E801" s="7" t="s">
        <v>364</v>
      </c>
      <c r="F801" t="s">
        <v>353</v>
      </c>
      <c r="G801" t="s">
        <v>68</v>
      </c>
      <c r="H801">
        <v>66</v>
      </c>
      <c r="I801" s="24">
        <v>59</v>
      </c>
    </row>
    <row r="802" spans="1:9" x14ac:dyDescent="0.2">
      <c r="A802">
        <v>35</v>
      </c>
      <c r="B802" s="7" t="s">
        <v>346</v>
      </c>
      <c r="C802" s="4" t="s">
        <v>40</v>
      </c>
      <c r="D802" s="7" t="s">
        <v>362</v>
      </c>
      <c r="E802" s="7" t="s">
        <v>104</v>
      </c>
      <c r="F802" t="s">
        <v>353</v>
      </c>
      <c r="G802" s="17" t="s">
        <v>68</v>
      </c>
      <c r="H802">
        <v>425</v>
      </c>
      <c r="I802" s="24">
        <v>349</v>
      </c>
    </row>
    <row r="803" spans="1:9" x14ac:dyDescent="0.2">
      <c r="A803">
        <v>35</v>
      </c>
      <c r="B803" s="7" t="s">
        <v>346</v>
      </c>
      <c r="C803" s="4" t="s">
        <v>40</v>
      </c>
      <c r="D803" s="7" t="s">
        <v>362</v>
      </c>
      <c r="E803" s="7" t="s">
        <v>365</v>
      </c>
      <c r="F803" t="s">
        <v>353</v>
      </c>
      <c r="G803" t="s">
        <v>68</v>
      </c>
      <c r="H803">
        <v>7</v>
      </c>
      <c r="I803" s="24">
        <v>7</v>
      </c>
    </row>
    <row r="804" spans="1:9" x14ac:dyDescent="0.2">
      <c r="A804">
        <v>35</v>
      </c>
      <c r="B804" s="7" t="s">
        <v>346</v>
      </c>
      <c r="C804" s="4" t="s">
        <v>40</v>
      </c>
      <c r="D804" s="7" t="s">
        <v>362</v>
      </c>
      <c r="E804" s="7" t="s">
        <v>112</v>
      </c>
      <c r="F804" t="s">
        <v>353</v>
      </c>
      <c r="G804" t="s">
        <v>68</v>
      </c>
      <c r="H804">
        <v>83</v>
      </c>
      <c r="I804" s="24">
        <v>64</v>
      </c>
    </row>
    <row r="805" spans="1:9" x14ac:dyDescent="0.2">
      <c r="A805">
        <v>35</v>
      </c>
      <c r="B805" s="7" t="s">
        <v>346</v>
      </c>
      <c r="C805" s="4" t="s">
        <v>40</v>
      </c>
      <c r="D805" s="7" t="s">
        <v>362</v>
      </c>
      <c r="E805" s="7" t="s">
        <v>114</v>
      </c>
      <c r="F805" t="s">
        <v>353</v>
      </c>
      <c r="G805" t="s">
        <v>68</v>
      </c>
      <c r="H805" s="22">
        <v>12825</v>
      </c>
      <c r="I805" s="22">
        <v>3515</v>
      </c>
    </row>
    <row r="806" spans="1:9" x14ac:dyDescent="0.2">
      <c r="A806">
        <v>35</v>
      </c>
      <c r="B806" s="7" t="s">
        <v>346</v>
      </c>
      <c r="C806" s="4" t="s">
        <v>75</v>
      </c>
      <c r="D806" s="7" t="s">
        <v>362</v>
      </c>
      <c r="E806" s="7" t="s">
        <v>101</v>
      </c>
      <c r="F806" t="s">
        <v>369</v>
      </c>
      <c r="G806" t="s">
        <v>77</v>
      </c>
      <c r="H806">
        <v>0</v>
      </c>
      <c r="I806" t="s">
        <v>50</v>
      </c>
    </row>
    <row r="807" spans="1:9" x14ac:dyDescent="0.2">
      <c r="A807">
        <v>35</v>
      </c>
      <c r="B807" s="7" t="s">
        <v>346</v>
      </c>
      <c r="C807" s="4" t="s">
        <v>75</v>
      </c>
      <c r="D807" s="7" t="s">
        <v>362</v>
      </c>
      <c r="E807" s="7" t="s">
        <v>363</v>
      </c>
      <c r="F807" t="s">
        <v>369</v>
      </c>
      <c r="G807" t="s">
        <v>77</v>
      </c>
      <c r="H807">
        <v>0</v>
      </c>
      <c r="I807" t="s">
        <v>50</v>
      </c>
    </row>
    <row r="808" spans="1:9" x14ac:dyDescent="0.2">
      <c r="A808">
        <v>35</v>
      </c>
      <c r="B808" s="7" t="s">
        <v>346</v>
      </c>
      <c r="C808" s="4" t="s">
        <v>75</v>
      </c>
      <c r="D808" s="7" t="s">
        <v>362</v>
      </c>
      <c r="E808" s="7" t="s">
        <v>364</v>
      </c>
      <c r="F808" t="s">
        <v>369</v>
      </c>
      <c r="G808" t="s">
        <v>77</v>
      </c>
      <c r="H808">
        <v>0</v>
      </c>
      <c r="I808">
        <v>0</v>
      </c>
    </row>
    <row r="809" spans="1:9" x14ac:dyDescent="0.2">
      <c r="A809">
        <v>35</v>
      </c>
      <c r="B809" s="7" t="s">
        <v>346</v>
      </c>
      <c r="C809" s="4" t="s">
        <v>75</v>
      </c>
      <c r="D809" s="7" t="s">
        <v>362</v>
      </c>
      <c r="E809" s="7" t="s">
        <v>104</v>
      </c>
      <c r="F809" t="s">
        <v>369</v>
      </c>
      <c r="G809" t="s">
        <v>77</v>
      </c>
      <c r="H809">
        <v>0</v>
      </c>
      <c r="I809">
        <v>0</v>
      </c>
    </row>
    <row r="810" spans="1:9" x14ac:dyDescent="0.2">
      <c r="A810">
        <v>35</v>
      </c>
      <c r="B810" s="7" t="s">
        <v>346</v>
      </c>
      <c r="C810" s="4" t="s">
        <v>75</v>
      </c>
      <c r="D810" s="7" t="s">
        <v>362</v>
      </c>
      <c r="E810" s="7" t="s">
        <v>365</v>
      </c>
      <c r="F810" t="s">
        <v>369</v>
      </c>
      <c r="G810" t="s">
        <v>77</v>
      </c>
      <c r="H810">
        <v>0</v>
      </c>
      <c r="I810">
        <v>0</v>
      </c>
    </row>
    <row r="811" spans="1:9" x14ac:dyDescent="0.2">
      <c r="A811">
        <v>35</v>
      </c>
      <c r="B811" s="7" t="s">
        <v>346</v>
      </c>
      <c r="C811" s="4" t="s">
        <v>75</v>
      </c>
      <c r="D811" s="7" t="s">
        <v>362</v>
      </c>
      <c r="E811" s="7" t="s">
        <v>112</v>
      </c>
      <c r="F811" t="s">
        <v>369</v>
      </c>
      <c r="G811" t="s">
        <v>77</v>
      </c>
      <c r="H811">
        <v>0</v>
      </c>
      <c r="I811">
        <v>0</v>
      </c>
    </row>
    <row r="812" spans="1:9" x14ac:dyDescent="0.2">
      <c r="A812">
        <v>35</v>
      </c>
      <c r="B812" s="7" t="s">
        <v>346</v>
      </c>
      <c r="C812" s="4" t="s">
        <v>75</v>
      </c>
      <c r="D812" s="7" t="s">
        <v>362</v>
      </c>
      <c r="E812" s="7" t="s">
        <v>114</v>
      </c>
      <c r="F812" t="s">
        <v>369</v>
      </c>
      <c r="G812" t="s">
        <v>77</v>
      </c>
      <c r="H812">
        <v>0</v>
      </c>
      <c r="I812">
        <v>0</v>
      </c>
    </row>
    <row r="813" spans="1:9" x14ac:dyDescent="0.2">
      <c r="A813">
        <v>35</v>
      </c>
      <c r="B813" s="7" t="s">
        <v>346</v>
      </c>
      <c r="C813" s="4" t="s">
        <v>42</v>
      </c>
      <c r="D813" s="7" t="s">
        <v>362</v>
      </c>
      <c r="E813" s="7" t="s">
        <v>101</v>
      </c>
      <c r="F813" t="s">
        <v>370</v>
      </c>
      <c r="G813" t="s">
        <v>72</v>
      </c>
      <c r="H813">
        <v>10680</v>
      </c>
      <c r="I813">
        <v>2420</v>
      </c>
    </row>
    <row r="814" spans="1:9" x14ac:dyDescent="0.2">
      <c r="A814">
        <v>35</v>
      </c>
      <c r="B814" s="7" t="s">
        <v>346</v>
      </c>
      <c r="C814" s="4" t="s">
        <v>42</v>
      </c>
      <c r="D814" s="7" t="s">
        <v>362</v>
      </c>
      <c r="E814" s="7" t="s">
        <v>363</v>
      </c>
      <c r="F814" t="s">
        <v>370</v>
      </c>
      <c r="G814" t="s">
        <v>72</v>
      </c>
      <c r="H814">
        <v>0</v>
      </c>
      <c r="I814">
        <v>0</v>
      </c>
    </row>
    <row r="815" spans="1:9" x14ac:dyDescent="0.2">
      <c r="A815">
        <v>35</v>
      </c>
      <c r="B815" s="7" t="s">
        <v>346</v>
      </c>
      <c r="C815" s="4" t="s">
        <v>42</v>
      </c>
      <c r="D815" s="7" t="s">
        <v>362</v>
      </c>
      <c r="E815" s="7" t="s">
        <v>364</v>
      </c>
      <c r="F815" t="s">
        <v>370</v>
      </c>
      <c r="G815" t="s">
        <v>72</v>
      </c>
      <c r="H815">
        <v>7</v>
      </c>
      <c r="I815">
        <v>0</v>
      </c>
    </row>
    <row r="816" spans="1:9" x14ac:dyDescent="0.2">
      <c r="A816">
        <v>35</v>
      </c>
      <c r="B816" s="7" t="s">
        <v>346</v>
      </c>
      <c r="C816" s="4" t="s">
        <v>42</v>
      </c>
      <c r="D816" s="7" t="s">
        <v>362</v>
      </c>
      <c r="E816" s="7" t="s">
        <v>104</v>
      </c>
      <c r="F816" t="s">
        <v>370</v>
      </c>
      <c r="G816" t="s">
        <v>72</v>
      </c>
      <c r="H816">
        <v>64</v>
      </c>
      <c r="I816">
        <v>0</v>
      </c>
    </row>
    <row r="817" spans="1:9" x14ac:dyDescent="0.2">
      <c r="A817">
        <v>35</v>
      </c>
      <c r="B817" s="7" t="s">
        <v>346</v>
      </c>
      <c r="C817" s="4" t="s">
        <v>42</v>
      </c>
      <c r="D817" s="7" t="s">
        <v>362</v>
      </c>
      <c r="E817" s="7" t="s">
        <v>365</v>
      </c>
      <c r="F817" t="s">
        <v>370</v>
      </c>
      <c r="G817" t="s">
        <v>72</v>
      </c>
      <c r="H817">
        <v>0</v>
      </c>
      <c r="I817">
        <v>0</v>
      </c>
    </row>
    <row r="818" spans="1:9" x14ac:dyDescent="0.2">
      <c r="A818">
        <v>35</v>
      </c>
      <c r="B818" s="7" t="s">
        <v>346</v>
      </c>
      <c r="C818" s="4" t="s">
        <v>42</v>
      </c>
      <c r="D818" s="7" t="s">
        <v>362</v>
      </c>
      <c r="E818" s="7" t="s">
        <v>112</v>
      </c>
      <c r="F818" t="s">
        <v>370</v>
      </c>
      <c r="G818" t="s">
        <v>72</v>
      </c>
      <c r="H818">
        <v>5</v>
      </c>
      <c r="I818">
        <v>0</v>
      </c>
    </row>
    <row r="819" spans="1:9" x14ac:dyDescent="0.2">
      <c r="A819">
        <v>35</v>
      </c>
      <c r="B819" s="7" t="s">
        <v>346</v>
      </c>
      <c r="C819" s="4" t="s">
        <v>42</v>
      </c>
      <c r="D819" s="7" t="s">
        <v>362</v>
      </c>
      <c r="E819" s="7" t="s">
        <v>114</v>
      </c>
      <c r="F819" t="s">
        <v>370</v>
      </c>
      <c r="G819" t="s">
        <v>72</v>
      </c>
      <c r="H819">
        <v>1431</v>
      </c>
      <c r="I819">
        <v>875</v>
      </c>
    </row>
    <row r="820" spans="1:9" x14ac:dyDescent="0.2">
      <c r="B820" s="7"/>
      <c r="C820" s="16"/>
      <c r="D820" s="7"/>
      <c r="E820" s="7"/>
    </row>
    <row r="821" spans="1:9" x14ac:dyDescent="0.2">
      <c r="B821" s="7"/>
      <c r="C821" s="16"/>
      <c r="D821" s="7"/>
      <c r="E821" s="7"/>
    </row>
    <row r="822" spans="1:9" x14ac:dyDescent="0.2">
      <c r="B822" s="7"/>
      <c r="C822" s="16"/>
      <c r="D822" s="7"/>
      <c r="E822" s="7"/>
    </row>
    <row r="824" spans="1:9" x14ac:dyDescent="0.2">
      <c r="A824" t="s">
        <v>371</v>
      </c>
    </row>
    <row r="825" spans="1:9" x14ac:dyDescent="0.2">
      <c r="A825" s="8"/>
      <c r="B825" t="s">
        <v>372</v>
      </c>
    </row>
  </sheetData>
  <autoFilter ref="A1:P825"/>
  <hyperlinks>
    <hyperlink ref="G3" r:id="rId1"/>
    <hyperlink ref="G15" r:id="rId2"/>
    <hyperlink ref="G162" r:id="rId3"/>
    <hyperlink ref="G802" r:id="rId4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Engine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Pauzamuan Paite</dc:creator>
  <cp:lastModifiedBy>Bhadru</cp:lastModifiedBy>
  <dcterms:created xsi:type="dcterms:W3CDTF">2026-07-07T06:36:16Z</dcterms:created>
  <dcterms:modified xsi:type="dcterms:W3CDTF">2026-09-02T11:57:32Z</dcterms:modified>
</cp:coreProperties>
</file>